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/>
  <mc:AlternateContent xmlns:mc="http://schemas.openxmlformats.org/markup-compatibility/2006">
    <mc:Choice Requires="x15">
      <x15ac:absPath xmlns:x15ac="http://schemas.microsoft.com/office/spreadsheetml/2010/11/ac" url="C:\Users\ft\Documents\workspace\Transhyde paper\"/>
    </mc:Choice>
  </mc:AlternateContent>
  <xr:revisionPtr revIDLastSave="0" documentId="8_{2335666C-66E5-4514-8453-1D49A0D74882}" xr6:coauthVersionLast="47" xr6:coauthVersionMax="47" xr10:uidLastSave="{00000000-0000-0000-0000-000000000000}"/>
  <bookViews>
    <workbookView xWindow="-120" yWindow="-120" windowWidth="29040" windowHeight="17640" tabRatio="779" xr2:uid="{00000000-000D-0000-FFFF-FFFF00000000}"/>
  </bookViews>
  <sheets>
    <sheet name="Summary" sheetId="9" r:id="rId1"/>
    <sheet name="Definitions" sheetId="22" r:id="rId2"/>
    <sheet name="H2_Demand_FED_NUTS0" sheetId="21" r:id="rId3"/>
    <sheet name="H2_Demand_FED_NUTS1" sheetId="16" r:id="rId4"/>
    <sheet name="H2_Demand_Conversion" sheetId="24" r:id="rId5"/>
    <sheet name="Energy balance - FED" sheetId="17" r:id="rId6"/>
    <sheet name="H2 trade capacities max" sheetId="19" r:id="rId7"/>
    <sheet name="Electrolyzer capacity" sheetId="18" r:id="rId8"/>
    <sheet name="H2 storage capacity" sheetId="23" r:id="rId9"/>
    <sheet name="Industry_Activity_EU27+UK" sheetId="1" r:id="rId10"/>
    <sheet name="Industry_ESC_FEC" sheetId="8" r:id="rId11"/>
    <sheet name="Industry_CCS" sheetId="2" r:id="rId12"/>
    <sheet name="Building_TechLifetime" sheetId="11" r:id="rId13"/>
    <sheet name="Building_TechEfficiency" sheetId="14" r:id="rId14"/>
    <sheet name="Transport_Activity" sheetId="15" r:id="rId15"/>
    <sheet name="Transport_TechEfficiency" sheetId="13" r:id="rId16"/>
  </sheets>
  <definedNames>
    <definedName name="_xlnm._FilterDatabase" localSheetId="9" hidden="1">'Industry_Activity_EU27+UK'!$A$2:$N$57</definedName>
    <definedName name="_xlnm._FilterDatabase" localSheetId="10" hidden="1">Industry_ESC_FEC!$A$68:$N$68</definedName>
    <definedName name="_Ref143206295" localSheetId="7">'Electrolyzer capacity'!$B$4</definedName>
    <definedName name="_Ref158736290" localSheetId="8">'H2 storage capacity'!$B$2</definedName>
    <definedName name="_Ref159235046" localSheetId="1">Definitions!$B$30</definedName>
    <definedName name="_Ref174454803" localSheetId="6">'H2 trade capacities max'!$C$2</definedName>
    <definedName name="_Ref174454851" localSheetId="6">'H2 trade capacities max'!#REF!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1" l="1"/>
  <c r="S6" i="21"/>
  <c r="T6" i="21"/>
  <c r="U6" i="21"/>
  <c r="V6" i="21"/>
  <c r="R7" i="21"/>
  <c r="S7" i="21"/>
  <c r="T7" i="21"/>
  <c r="U7" i="21"/>
  <c r="V7" i="21"/>
  <c r="R8" i="21"/>
  <c r="S8" i="21"/>
  <c r="T8" i="21"/>
  <c r="U8" i="21"/>
  <c r="V8" i="21"/>
  <c r="R9" i="21"/>
  <c r="S9" i="21"/>
  <c r="T9" i="21"/>
  <c r="U9" i="21"/>
  <c r="V9" i="21"/>
  <c r="R10" i="21"/>
  <c r="S10" i="21"/>
  <c r="T10" i="21"/>
  <c r="U10" i="21"/>
  <c r="V10" i="21"/>
  <c r="R11" i="21"/>
  <c r="S11" i="21"/>
  <c r="T11" i="21"/>
  <c r="U11" i="21"/>
  <c r="V11" i="21"/>
  <c r="R12" i="21"/>
  <c r="S12" i="21"/>
  <c r="T12" i="21"/>
  <c r="U12" i="21"/>
  <c r="V12" i="21"/>
  <c r="R13" i="21"/>
  <c r="S13" i="21"/>
  <c r="T13" i="21"/>
  <c r="U13" i="21"/>
  <c r="V13" i="21"/>
  <c r="R14" i="21"/>
  <c r="S14" i="21"/>
  <c r="T14" i="21"/>
  <c r="U14" i="21"/>
  <c r="V14" i="21"/>
  <c r="R15" i="21"/>
  <c r="S15" i="21"/>
  <c r="T15" i="21"/>
  <c r="U15" i="21"/>
  <c r="V15" i="21"/>
  <c r="R16" i="21"/>
  <c r="S16" i="21"/>
  <c r="T16" i="21"/>
  <c r="U16" i="21"/>
  <c r="V16" i="21"/>
  <c r="R17" i="21"/>
  <c r="S17" i="21"/>
  <c r="T17" i="21"/>
  <c r="U17" i="21"/>
  <c r="V17" i="21"/>
  <c r="R18" i="21"/>
  <c r="S18" i="21"/>
  <c r="T18" i="21"/>
  <c r="U18" i="21"/>
  <c r="V18" i="21"/>
  <c r="R19" i="21"/>
  <c r="S19" i="21"/>
  <c r="T19" i="21"/>
  <c r="U19" i="21"/>
  <c r="V19" i="21"/>
  <c r="R20" i="21"/>
  <c r="S20" i="21"/>
  <c r="T20" i="21"/>
  <c r="U20" i="21"/>
  <c r="V20" i="21"/>
  <c r="R21" i="21"/>
  <c r="S21" i="21"/>
  <c r="T21" i="21"/>
  <c r="U21" i="21"/>
  <c r="V21" i="21"/>
  <c r="R22" i="21"/>
  <c r="S22" i="21"/>
  <c r="T22" i="21"/>
  <c r="U22" i="21"/>
  <c r="V22" i="21"/>
  <c r="R23" i="21"/>
  <c r="S23" i="21"/>
  <c r="T23" i="21"/>
  <c r="U23" i="21"/>
  <c r="V23" i="21"/>
  <c r="R24" i="21"/>
  <c r="S24" i="21"/>
  <c r="T24" i="21"/>
  <c r="U24" i="21"/>
  <c r="V24" i="21"/>
  <c r="R25" i="21"/>
  <c r="S25" i="21"/>
  <c r="T25" i="21"/>
  <c r="U25" i="21"/>
  <c r="V25" i="21"/>
  <c r="R26" i="21"/>
  <c r="S26" i="21"/>
  <c r="T26" i="21"/>
  <c r="U26" i="21"/>
  <c r="V26" i="21"/>
  <c r="R27" i="21"/>
  <c r="S27" i="21"/>
  <c r="T27" i="21"/>
  <c r="U27" i="21"/>
  <c r="V27" i="21"/>
  <c r="R28" i="21"/>
  <c r="S28" i="21"/>
  <c r="T28" i="21"/>
  <c r="U28" i="21"/>
  <c r="V28" i="21"/>
  <c r="R29" i="21"/>
  <c r="S29" i="21"/>
  <c r="T29" i="21"/>
  <c r="U29" i="21"/>
  <c r="V29" i="21"/>
  <c r="R30" i="21"/>
  <c r="S30" i="21"/>
  <c r="T30" i="21"/>
  <c r="U30" i="21"/>
  <c r="V30" i="21"/>
  <c r="R31" i="21"/>
  <c r="S31" i="21"/>
  <c r="T31" i="21"/>
  <c r="U31" i="21"/>
  <c r="V31" i="21"/>
  <c r="R32" i="21"/>
  <c r="S32" i="21"/>
  <c r="T32" i="21"/>
  <c r="U32" i="21"/>
  <c r="V32" i="21"/>
  <c r="R33" i="21"/>
  <c r="S33" i="21"/>
  <c r="T33" i="21"/>
  <c r="U33" i="21"/>
  <c r="V33" i="21"/>
  <c r="R34" i="21"/>
  <c r="S34" i="21"/>
  <c r="T34" i="21"/>
  <c r="U34" i="21"/>
  <c r="V34" i="21"/>
  <c r="R35" i="21"/>
  <c r="S35" i="21"/>
  <c r="T35" i="21"/>
  <c r="U35" i="21"/>
  <c r="V35" i="21"/>
  <c r="R36" i="21"/>
  <c r="S36" i="21"/>
  <c r="T36" i="21"/>
  <c r="U36" i="21"/>
  <c r="V36" i="21"/>
  <c r="R37" i="21"/>
  <c r="S37" i="21"/>
  <c r="T37" i="21"/>
  <c r="U37" i="21"/>
  <c r="V37" i="21"/>
  <c r="R38" i="21"/>
  <c r="S38" i="21"/>
  <c r="T38" i="21"/>
  <c r="U38" i="21"/>
  <c r="V38" i="21"/>
  <c r="R39" i="21"/>
  <c r="S39" i="21"/>
  <c r="T39" i="21"/>
  <c r="U39" i="21"/>
  <c r="V39" i="21"/>
  <c r="R40" i="21"/>
  <c r="S40" i="21"/>
  <c r="T40" i="21"/>
  <c r="U40" i="21"/>
  <c r="V40" i="21"/>
  <c r="R41" i="21"/>
  <c r="S41" i="21"/>
  <c r="T41" i="21"/>
  <c r="U41" i="21"/>
  <c r="V41" i="21"/>
  <c r="R42" i="21"/>
  <c r="S42" i="21"/>
  <c r="T42" i="21"/>
  <c r="U42" i="21"/>
  <c r="V42" i="21"/>
  <c r="R43" i="21"/>
  <c r="S43" i="21"/>
  <c r="T43" i="21"/>
  <c r="U43" i="21"/>
  <c r="V43" i="21"/>
  <c r="R44" i="21"/>
  <c r="S44" i="21"/>
  <c r="T44" i="21"/>
  <c r="U44" i="21"/>
  <c r="V44" i="21"/>
  <c r="R45" i="21"/>
  <c r="S45" i="21"/>
  <c r="T45" i="21"/>
  <c r="U45" i="21"/>
  <c r="V45" i="21"/>
  <c r="R46" i="21"/>
  <c r="S46" i="21"/>
  <c r="T46" i="21"/>
  <c r="U46" i="21"/>
  <c r="V46" i="21"/>
  <c r="R47" i="21"/>
  <c r="S47" i="21"/>
  <c r="T47" i="21"/>
  <c r="U47" i="21"/>
  <c r="V47" i="21"/>
  <c r="R48" i="21"/>
  <c r="S48" i="21"/>
  <c r="T48" i="21"/>
  <c r="U48" i="21"/>
  <c r="V48" i="21"/>
  <c r="R49" i="21"/>
  <c r="S49" i="21"/>
  <c r="T49" i="21"/>
  <c r="U49" i="21"/>
  <c r="V49" i="21"/>
  <c r="R50" i="21"/>
  <c r="S50" i="21"/>
  <c r="T50" i="21"/>
  <c r="U50" i="21"/>
  <c r="V50" i="21"/>
  <c r="R51" i="21"/>
  <c r="S51" i="21"/>
  <c r="T51" i="21"/>
  <c r="U51" i="21"/>
  <c r="V51" i="21"/>
  <c r="R52" i="21"/>
  <c r="S52" i="21"/>
  <c r="T52" i="21"/>
  <c r="U52" i="21"/>
  <c r="V52" i="21"/>
  <c r="R53" i="21"/>
  <c r="S53" i="21"/>
  <c r="T53" i="21"/>
  <c r="U53" i="21"/>
  <c r="V53" i="21"/>
  <c r="R54" i="21"/>
  <c r="S54" i="21"/>
  <c r="T54" i="21"/>
  <c r="U54" i="21"/>
  <c r="V54" i="21"/>
  <c r="R55" i="21"/>
  <c r="S55" i="21"/>
  <c r="T55" i="21"/>
  <c r="U55" i="21"/>
  <c r="V55" i="21"/>
  <c r="R56" i="21"/>
  <c r="S56" i="21"/>
  <c r="T56" i="21"/>
  <c r="U56" i="21"/>
  <c r="V56" i="21"/>
  <c r="R57" i="21"/>
  <c r="S57" i="21"/>
  <c r="T57" i="21"/>
  <c r="U57" i="21"/>
  <c r="V57" i="21"/>
  <c r="R58" i="21"/>
  <c r="S58" i="21"/>
  <c r="T58" i="21"/>
  <c r="U58" i="21"/>
  <c r="V58" i="21"/>
  <c r="R59" i="21"/>
  <c r="S59" i="21"/>
  <c r="T59" i="21"/>
  <c r="U59" i="21"/>
  <c r="V59" i="21"/>
  <c r="R60" i="21"/>
  <c r="S60" i="21"/>
  <c r="T60" i="21"/>
  <c r="U60" i="21"/>
  <c r="V60" i="21"/>
  <c r="R61" i="21"/>
  <c r="S61" i="21"/>
  <c r="T61" i="21"/>
  <c r="U61" i="21"/>
  <c r="V61" i="21"/>
  <c r="R62" i="21"/>
  <c r="S62" i="21"/>
  <c r="T62" i="21"/>
  <c r="U62" i="21"/>
  <c r="V62" i="21"/>
  <c r="R63" i="21"/>
  <c r="S63" i="21"/>
  <c r="T63" i="21"/>
  <c r="U63" i="21"/>
  <c r="V63" i="21"/>
  <c r="R64" i="21"/>
  <c r="S64" i="21"/>
  <c r="T64" i="21"/>
  <c r="U64" i="21"/>
  <c r="V64" i="21"/>
  <c r="R65" i="21"/>
  <c r="S65" i="21"/>
  <c r="T65" i="21"/>
  <c r="U65" i="21"/>
  <c r="V65" i="21"/>
  <c r="R66" i="21"/>
  <c r="S66" i="21"/>
  <c r="T66" i="21"/>
  <c r="U66" i="21"/>
  <c r="V66" i="21"/>
  <c r="R67" i="21"/>
  <c r="S67" i="21"/>
  <c r="T67" i="21"/>
  <c r="U67" i="21"/>
  <c r="V67" i="21"/>
  <c r="R68" i="21"/>
  <c r="S68" i="21"/>
  <c r="T68" i="21"/>
  <c r="U68" i="21"/>
  <c r="V68" i="21"/>
  <c r="R69" i="21"/>
  <c r="S69" i="21"/>
  <c r="T69" i="21"/>
  <c r="U69" i="21"/>
  <c r="V69" i="21"/>
  <c r="R70" i="21"/>
  <c r="S70" i="21"/>
  <c r="T70" i="21"/>
  <c r="U70" i="21"/>
  <c r="V70" i="21"/>
  <c r="R71" i="21"/>
  <c r="S71" i="21"/>
  <c r="T71" i="21"/>
  <c r="U71" i="21"/>
  <c r="V71" i="21"/>
  <c r="R72" i="21"/>
  <c r="S72" i="21"/>
  <c r="T72" i="21"/>
  <c r="U72" i="21"/>
  <c r="V72" i="21"/>
  <c r="R73" i="21"/>
  <c r="S73" i="21"/>
  <c r="T73" i="21"/>
  <c r="U73" i="21"/>
  <c r="V73" i="21"/>
  <c r="R74" i="21"/>
  <c r="S74" i="21"/>
  <c r="T74" i="21"/>
  <c r="U74" i="21"/>
  <c r="V74" i="21"/>
  <c r="R75" i="21"/>
  <c r="S75" i="21"/>
  <c r="T75" i="21"/>
  <c r="U75" i="21"/>
  <c r="V75" i="21"/>
  <c r="R76" i="21"/>
  <c r="S76" i="21"/>
  <c r="T76" i="21"/>
  <c r="U76" i="21"/>
  <c r="V76" i="21"/>
  <c r="R77" i="21"/>
  <c r="S77" i="21"/>
  <c r="T77" i="21"/>
  <c r="U77" i="21"/>
  <c r="V77" i="21"/>
  <c r="R78" i="21"/>
  <c r="S78" i="21"/>
  <c r="T78" i="21"/>
  <c r="U78" i="21"/>
  <c r="V78" i="21"/>
  <c r="R79" i="21"/>
  <c r="S79" i="21"/>
  <c r="T79" i="21"/>
  <c r="U79" i="21"/>
  <c r="V79" i="21"/>
  <c r="R80" i="21"/>
  <c r="S80" i="21"/>
  <c r="T80" i="21"/>
  <c r="U80" i="21"/>
  <c r="V80" i="21"/>
  <c r="R81" i="21"/>
  <c r="S81" i="21"/>
  <c r="T81" i="21"/>
  <c r="U81" i="21"/>
  <c r="V81" i="21"/>
  <c r="R82" i="21"/>
  <c r="S82" i="21"/>
  <c r="T82" i="21"/>
  <c r="U82" i="21"/>
  <c r="V82" i="21"/>
  <c r="R83" i="21"/>
  <c r="S83" i="21"/>
  <c r="T83" i="21"/>
  <c r="U83" i="21"/>
  <c r="V83" i="21"/>
  <c r="R84" i="21"/>
  <c r="S84" i="21"/>
  <c r="T84" i="21"/>
  <c r="U84" i="21"/>
  <c r="V84" i="21"/>
  <c r="R85" i="21"/>
  <c r="S85" i="21"/>
  <c r="T85" i="21"/>
  <c r="U85" i="21"/>
  <c r="V85" i="21"/>
  <c r="R86" i="21"/>
  <c r="S86" i="21"/>
  <c r="T86" i="21"/>
  <c r="U86" i="21"/>
  <c r="V86" i="21"/>
  <c r="R87" i="21"/>
  <c r="S87" i="21"/>
  <c r="T87" i="21"/>
  <c r="U87" i="21"/>
  <c r="V87" i="21"/>
  <c r="R88" i="21"/>
  <c r="S88" i="21"/>
  <c r="T88" i="21"/>
  <c r="U88" i="21"/>
  <c r="V88" i="21"/>
  <c r="R89" i="21"/>
  <c r="S89" i="21"/>
  <c r="T89" i="21"/>
  <c r="U89" i="21"/>
  <c r="V89" i="21"/>
  <c r="R90" i="21"/>
  <c r="S90" i="21"/>
  <c r="T90" i="21"/>
  <c r="U90" i="21"/>
  <c r="V90" i="21"/>
  <c r="R91" i="21"/>
  <c r="S91" i="21"/>
  <c r="T91" i="21"/>
  <c r="U91" i="21"/>
  <c r="V91" i="21"/>
  <c r="R92" i="21"/>
  <c r="S92" i="21"/>
  <c r="T92" i="21"/>
  <c r="U92" i="21"/>
  <c r="V92" i="21"/>
  <c r="R93" i="21"/>
  <c r="S93" i="21"/>
  <c r="T93" i="21"/>
  <c r="U93" i="21"/>
  <c r="V93" i="21"/>
  <c r="R94" i="21"/>
  <c r="S94" i="21"/>
  <c r="T94" i="21"/>
  <c r="U94" i="21"/>
  <c r="V94" i="21"/>
  <c r="R95" i="21"/>
  <c r="S95" i="21"/>
  <c r="T95" i="21"/>
  <c r="U95" i="21"/>
  <c r="V95" i="21"/>
  <c r="R96" i="21"/>
  <c r="S96" i="21"/>
  <c r="T96" i="21"/>
  <c r="U96" i="21"/>
  <c r="V96" i="21"/>
  <c r="R97" i="21"/>
  <c r="S97" i="21"/>
  <c r="T97" i="21"/>
  <c r="U97" i="21"/>
  <c r="V97" i="21"/>
  <c r="R98" i="21"/>
  <c r="S98" i="21"/>
  <c r="T98" i="21"/>
  <c r="U98" i="21"/>
  <c r="V98" i="21"/>
  <c r="R99" i="21"/>
  <c r="S99" i="21"/>
  <c r="T99" i="21"/>
  <c r="U99" i="21"/>
  <c r="V99" i="21"/>
  <c r="R100" i="21"/>
  <c r="S100" i="21"/>
  <c r="T100" i="21"/>
  <c r="U100" i="21"/>
  <c r="V100" i="21"/>
  <c r="R101" i="21"/>
  <c r="S101" i="21"/>
  <c r="T101" i="21"/>
  <c r="U101" i="21"/>
  <c r="V101" i="21"/>
  <c r="R102" i="21"/>
  <c r="S102" i="21"/>
  <c r="T102" i="21"/>
  <c r="U102" i="21"/>
  <c r="V102" i="21"/>
  <c r="R103" i="21"/>
  <c r="S103" i="21"/>
  <c r="T103" i="21"/>
  <c r="U103" i="21"/>
  <c r="V103" i="21"/>
  <c r="R104" i="21"/>
  <c r="S104" i="21"/>
  <c r="T104" i="21"/>
  <c r="U104" i="21"/>
  <c r="V104" i="21"/>
  <c r="R105" i="21"/>
  <c r="S105" i="21"/>
  <c r="T105" i="21"/>
  <c r="U105" i="21"/>
  <c r="V105" i="21"/>
  <c r="R106" i="21"/>
  <c r="S106" i="21"/>
  <c r="T106" i="21"/>
  <c r="U106" i="21"/>
  <c r="V106" i="21"/>
  <c r="R107" i="21"/>
  <c r="S107" i="21"/>
  <c r="T107" i="21"/>
  <c r="U107" i="21"/>
  <c r="V107" i="21"/>
  <c r="R108" i="21"/>
  <c r="S108" i="21"/>
  <c r="T108" i="21"/>
  <c r="U108" i="21"/>
  <c r="V108" i="21"/>
  <c r="R109" i="21"/>
  <c r="S109" i="21"/>
  <c r="T109" i="21"/>
  <c r="U109" i="21"/>
  <c r="V109" i="21"/>
  <c r="R110" i="21"/>
  <c r="S110" i="21"/>
  <c r="T110" i="21"/>
  <c r="U110" i="21"/>
  <c r="V110" i="21"/>
  <c r="R111" i="21"/>
  <c r="S111" i="21"/>
  <c r="T111" i="21"/>
  <c r="U111" i="21"/>
  <c r="V111" i="21"/>
  <c r="R112" i="21"/>
  <c r="S112" i="21"/>
  <c r="T112" i="21"/>
  <c r="U112" i="21"/>
  <c r="V112" i="21"/>
  <c r="R113" i="21"/>
  <c r="S113" i="21"/>
  <c r="T113" i="21"/>
  <c r="U113" i="21"/>
  <c r="V113" i="21"/>
  <c r="R114" i="21"/>
  <c r="S114" i="21"/>
  <c r="T114" i="21"/>
  <c r="U114" i="21"/>
  <c r="V114" i="21"/>
  <c r="R115" i="21"/>
  <c r="S115" i="21"/>
  <c r="T115" i="21"/>
  <c r="U115" i="21"/>
  <c r="V115" i="21"/>
  <c r="R116" i="21"/>
  <c r="S116" i="21"/>
  <c r="T116" i="21"/>
  <c r="U116" i="21"/>
  <c r="V116" i="21"/>
  <c r="R117" i="21"/>
  <c r="S117" i="21"/>
  <c r="T117" i="21"/>
  <c r="U117" i="21"/>
  <c r="V117" i="21"/>
  <c r="R118" i="21"/>
  <c r="S118" i="21"/>
  <c r="T118" i="21"/>
  <c r="U118" i="21"/>
  <c r="V118" i="21"/>
  <c r="R119" i="21"/>
  <c r="S119" i="21"/>
  <c r="T119" i="21"/>
  <c r="U119" i="21"/>
  <c r="V119" i="21"/>
  <c r="R120" i="21"/>
  <c r="S120" i="21"/>
  <c r="T120" i="21"/>
  <c r="U120" i="21"/>
  <c r="V120" i="21"/>
  <c r="R121" i="21"/>
  <c r="S121" i="21"/>
  <c r="T121" i="21"/>
  <c r="U121" i="21"/>
  <c r="V121" i="21"/>
  <c r="R122" i="21"/>
  <c r="S122" i="21"/>
  <c r="T122" i="21"/>
  <c r="U122" i="21"/>
  <c r="V122" i="21"/>
  <c r="R123" i="21"/>
  <c r="S123" i="21"/>
  <c r="T123" i="21"/>
  <c r="U123" i="21"/>
  <c r="V123" i="21"/>
  <c r="R124" i="21"/>
  <c r="S124" i="21"/>
  <c r="T124" i="21"/>
  <c r="U124" i="21"/>
  <c r="V124" i="21"/>
  <c r="R125" i="21"/>
  <c r="S125" i="21"/>
  <c r="T125" i="21"/>
  <c r="U125" i="21"/>
  <c r="V125" i="21"/>
  <c r="R126" i="21"/>
  <c r="S126" i="21"/>
  <c r="T126" i="21"/>
  <c r="U126" i="21"/>
  <c r="V126" i="21"/>
  <c r="R127" i="21"/>
  <c r="S127" i="21"/>
  <c r="T127" i="21"/>
  <c r="U127" i="21"/>
  <c r="V127" i="21"/>
  <c r="R128" i="21"/>
  <c r="S128" i="21"/>
  <c r="T128" i="21"/>
  <c r="U128" i="21"/>
  <c r="V128" i="21"/>
  <c r="R129" i="21"/>
  <c r="S129" i="21"/>
  <c r="T129" i="21"/>
  <c r="U129" i="21"/>
  <c r="V129" i="21"/>
  <c r="R130" i="21"/>
  <c r="S130" i="21"/>
  <c r="T130" i="21"/>
  <c r="U130" i="21"/>
  <c r="V130" i="21"/>
  <c r="R131" i="21"/>
  <c r="S131" i="21"/>
  <c r="T131" i="21"/>
  <c r="U131" i="21"/>
  <c r="V131" i="21"/>
  <c r="R132" i="21"/>
  <c r="S132" i="21"/>
  <c r="T132" i="21"/>
  <c r="U132" i="21"/>
  <c r="V132" i="21"/>
  <c r="R133" i="21"/>
  <c r="S133" i="21"/>
  <c r="T133" i="21"/>
  <c r="U133" i="21"/>
  <c r="V133" i="21"/>
  <c r="R134" i="21"/>
  <c r="S134" i="21"/>
  <c r="T134" i="21"/>
  <c r="U134" i="21"/>
  <c r="V134" i="21"/>
  <c r="R135" i="21"/>
  <c r="S135" i="21"/>
  <c r="T135" i="21"/>
  <c r="U135" i="21"/>
  <c r="V135" i="21"/>
  <c r="R136" i="21"/>
  <c r="S136" i="21"/>
  <c r="T136" i="21"/>
  <c r="U136" i="21"/>
  <c r="V136" i="21"/>
  <c r="R137" i="21"/>
  <c r="S137" i="21"/>
  <c r="T137" i="21"/>
  <c r="U137" i="21"/>
  <c r="V137" i="21"/>
  <c r="R138" i="21"/>
  <c r="S138" i="21"/>
  <c r="T138" i="21"/>
  <c r="U138" i="21"/>
  <c r="V138" i="21"/>
  <c r="R139" i="21"/>
  <c r="S139" i="21"/>
  <c r="T139" i="21"/>
  <c r="U139" i="21"/>
  <c r="V139" i="21"/>
  <c r="R140" i="21"/>
  <c r="S140" i="21"/>
  <c r="T140" i="21"/>
  <c r="U140" i="21"/>
  <c r="V140" i="21"/>
  <c r="R141" i="21"/>
  <c r="S141" i="21"/>
  <c r="T141" i="21"/>
  <c r="U141" i="21"/>
  <c r="V141" i="21"/>
  <c r="R142" i="21"/>
  <c r="S142" i="21"/>
  <c r="T142" i="21"/>
  <c r="U142" i="21"/>
  <c r="V142" i="21"/>
  <c r="R143" i="21"/>
  <c r="S143" i="21"/>
  <c r="T143" i="21"/>
  <c r="U143" i="21"/>
  <c r="V143" i="21"/>
  <c r="R144" i="21"/>
  <c r="S144" i="21"/>
  <c r="T144" i="21"/>
  <c r="U144" i="21"/>
  <c r="V144" i="21"/>
  <c r="R145" i="21"/>
  <c r="S145" i="21"/>
  <c r="T145" i="21"/>
  <c r="U145" i="21"/>
  <c r="V145" i="21"/>
  <c r="R146" i="21"/>
  <c r="S146" i="21"/>
  <c r="T146" i="21"/>
  <c r="U146" i="21"/>
  <c r="V146" i="21"/>
  <c r="R147" i="21"/>
  <c r="S147" i="21"/>
  <c r="T147" i="21"/>
  <c r="U147" i="21"/>
  <c r="V147" i="21"/>
  <c r="R148" i="21"/>
  <c r="S148" i="21"/>
  <c r="T148" i="21"/>
  <c r="U148" i="21"/>
  <c r="V148" i="21"/>
  <c r="R149" i="21"/>
  <c r="S149" i="21"/>
  <c r="T149" i="21"/>
  <c r="U149" i="21"/>
  <c r="V149" i="21"/>
  <c r="S5" i="21"/>
  <c r="T5" i="21"/>
  <c r="U5" i="21"/>
  <c r="V5" i="21"/>
  <c r="R5" i="21"/>
</calcChain>
</file>

<file path=xl/sharedStrings.xml><?xml version="1.0" encoding="utf-8"?>
<sst xmlns="http://schemas.openxmlformats.org/spreadsheetml/2006/main" count="5406" uniqueCount="645">
  <si>
    <t>Supplementary material for the paper:</t>
  </si>
  <si>
    <t>Hydrogen infrastructure in the future CO2-neutral European energy system - How does the demand for hydrogen affect the need for infrastructure?</t>
  </si>
  <si>
    <t>corresponding author:</t>
  </si>
  <si>
    <t>Tobias Fleiter</t>
  </si>
  <si>
    <t>tobias.fleiter@isi.fraunhofer.de</t>
  </si>
  <si>
    <t>Table of content</t>
  </si>
  <si>
    <t>Definitions</t>
  </si>
  <si>
    <t>NUTS 1 codes, energy carriers, scenarios</t>
  </si>
  <si>
    <t>Results</t>
  </si>
  <si>
    <t>H2_Demand_FED_NUTS0</t>
  </si>
  <si>
    <t>Total final H2 demand of sectors per country (NUTS0)</t>
  </si>
  <si>
    <t>H2_Demand_FED_NUTS1</t>
  </si>
  <si>
    <t>Total final H2 demand of sectors per regions (NUTS1)</t>
  </si>
  <si>
    <t>H2_Demand_Conversion</t>
  </si>
  <si>
    <t>Total H2 demand of conversion sector (central electricity and heat supply)</t>
  </si>
  <si>
    <t>Energy-balance_FED</t>
  </si>
  <si>
    <t>Total final energy demand in EU 27+UK (industry, transport and buildings)</t>
  </si>
  <si>
    <t>H2 trade capacities max</t>
  </si>
  <si>
    <t>Max transfer capacities for hydrogen in GW in 2030 and 2050</t>
  </si>
  <si>
    <t>Electrolyzer capacity</t>
  </si>
  <si>
    <t>Electrolyzers installed capacity per region and scenario in 2030 and 2050</t>
  </si>
  <si>
    <t>H2 storage capacity</t>
  </si>
  <si>
    <t>H2 Storage potential capacity for the Enertile regions in TWh</t>
  </si>
  <si>
    <t>Additional assumptions</t>
  </si>
  <si>
    <t>Industry_Activity_EU27+UK</t>
  </si>
  <si>
    <t>Current and future production projection by scenario for main industrial products</t>
  </si>
  <si>
    <t>Industry_ESC_FEC</t>
  </si>
  <si>
    <t>Technical characterisation of industry processes</t>
  </si>
  <si>
    <t>Industry_CCS</t>
  </si>
  <si>
    <t>Diffusion of carbon capture and respective energy demand</t>
  </si>
  <si>
    <t>Building_TechLifetime</t>
  </si>
  <si>
    <t>Mean technical lifetime of building components and heating systems</t>
  </si>
  <si>
    <t>Building_TechEfficiency</t>
  </si>
  <si>
    <t>Average conversion efficiency of building heating systems according to the used energy carrier</t>
  </si>
  <si>
    <t>Transport_Activity</t>
  </si>
  <si>
    <t>Total kilometers by transport mode</t>
  </si>
  <si>
    <t>Transport_TechEfficiency</t>
  </si>
  <si>
    <t>Mean efficiency per transport mode and drivetrain</t>
  </si>
  <si>
    <t>More detailed hydrogen demands and energy balances are available at Zenodo:</t>
  </si>
  <si>
    <t xml:space="preserve">https://doi.org/10.5281/zenodo.13236226  </t>
  </si>
  <si>
    <t>List of scenarios</t>
  </si>
  <si>
    <t>Label</t>
  </si>
  <si>
    <t>Explanation</t>
  </si>
  <si>
    <t>Note</t>
  </si>
  <si>
    <t>S1_newIndVC</t>
  </si>
  <si>
    <t>Scenario 1: Focus hydrogen use for high-temperature process heating</t>
  </si>
  <si>
    <t>S2_ChemSteel</t>
  </si>
  <si>
    <t>Scenario 2: Focus hydrogen use in steel and chemicals</t>
  </si>
  <si>
    <t>S3_Ind</t>
  </si>
  <si>
    <t>Scenario 3: Focus hydrogen use in all industries</t>
  </si>
  <si>
    <t>S4_IndMob</t>
  </si>
  <si>
    <t>Scenario 4: Focus hydrogen use in industry and mobility</t>
  </si>
  <si>
    <t>S5_allSec</t>
  </si>
  <si>
    <t>Scenario 5: Hydrogen use in all demand sectors</t>
  </si>
  <si>
    <t>Definition of energy carriers</t>
  </si>
  <si>
    <t>Energy carrier</t>
  </si>
  <si>
    <t>Eurostat code</t>
  </si>
  <si>
    <t>Ambient heat</t>
  </si>
  <si>
    <t>Ambient heat (heat pumps)</t>
  </si>
  <si>
    <t>RA600 in Eurostat</t>
  </si>
  <si>
    <t>Biomass</t>
  </si>
  <si>
    <t>Biofuels</t>
  </si>
  <si>
    <t>R5110-5150_W6000RI, R5160, R5210-5230, R5290, R5300, W6210 in Eurostat</t>
  </si>
  <si>
    <t>Coal</t>
  </si>
  <si>
    <t>Solid fossil fuels and peat</t>
  </si>
  <si>
    <t>C0110, C0121-0129, C0210-0220, C0311-0312, C0320, C0330, P1100-1200 in Eurostat</t>
  </si>
  <si>
    <t>District heating</t>
  </si>
  <si>
    <t xml:space="preserve">Derived Heat </t>
  </si>
  <si>
    <t>H8000 in Eurostat</t>
  </si>
  <si>
    <t>Electricity</t>
  </si>
  <si>
    <t xml:space="preserve">Electrical energy </t>
  </si>
  <si>
    <t>E7000 in Eurostat</t>
  </si>
  <si>
    <t>Fuel oil</t>
  </si>
  <si>
    <t>Light and heavy fuel oils used in Industry and Buildings, fossil fuels used in Transport sector</t>
  </si>
  <si>
    <t>C0340, O4100_TOT, O4651, O4652XR5210B, O4653, O4661XR5230B, O4669, O4671XR5220B, O4680, S2000 in Eurostat</t>
  </si>
  <si>
    <t>Hydrogen</t>
  </si>
  <si>
    <t>Naphtha</t>
  </si>
  <si>
    <t>O4640 in Eurostat</t>
  </si>
  <si>
    <t>Natural gas</t>
  </si>
  <si>
    <t>G3000 in Eurostat</t>
  </si>
  <si>
    <t>Other fossil</t>
  </si>
  <si>
    <t>Manufactured gases and petroleum products used in Industry</t>
  </si>
  <si>
    <t>C0350-0370, O4200, O4610-4630, O4691-4699 in Eurostat</t>
  </si>
  <si>
    <t>Other RES</t>
  </si>
  <si>
    <t>Model artifact of insignificant demand (discontinued)</t>
  </si>
  <si>
    <t>Renewable Methane</t>
  </si>
  <si>
    <t>PtX in Industry sector</t>
  </si>
  <si>
    <t>Solar energy</t>
  </si>
  <si>
    <t>Solar thermal</t>
  </si>
  <si>
    <t>RA410 in Eurostat</t>
  </si>
  <si>
    <t>Synfuels</t>
  </si>
  <si>
    <t>PtX for industrial feedstock demand as well as for energy purposes in all sectors</t>
  </si>
  <si>
    <t>Waste non-RES</t>
  </si>
  <si>
    <t>Non-renewable waste</t>
  </si>
  <si>
    <t>W6100_6220 in Eurostat</t>
  </si>
  <si>
    <t>Heat</t>
  </si>
  <si>
    <t>only in Energy balance</t>
  </si>
  <si>
    <t>Enertile regions and the corresponding countries</t>
  </si>
  <si>
    <t>Region Code</t>
  </si>
  <si>
    <t>Countries</t>
  </si>
  <si>
    <t>AT_0</t>
  </si>
  <si>
    <t>Austria</t>
  </si>
  <si>
    <t>BAP_0</t>
  </si>
  <si>
    <t>Hungary, Slovakia, Slovenia, Croatia, Bosnia and Herzegovina, Serbia, Kosovo, Montenegro, Albania, North Macedonia</t>
  </si>
  <si>
    <t>BAT_0</t>
  </si>
  <si>
    <t>Estonia, Lithuania, Latvia</t>
  </si>
  <si>
    <t>BEU_0</t>
  </si>
  <si>
    <t>Belgium, Luxembourg</t>
  </si>
  <si>
    <t>CH_0</t>
  </si>
  <si>
    <t>Switzerland</t>
  </si>
  <si>
    <t>CZ_0</t>
  </si>
  <si>
    <t>Czech Republic</t>
  </si>
  <si>
    <t>DE_1-DE6, DE_1O</t>
  </si>
  <si>
    <t>Germany</t>
  </si>
  <si>
    <t>DK_0</t>
  </si>
  <si>
    <t>Denmark</t>
  </si>
  <si>
    <t>FI_0</t>
  </si>
  <si>
    <t>Finland</t>
  </si>
  <si>
    <t>FR_0</t>
  </si>
  <si>
    <t>France</t>
  </si>
  <si>
    <t>IBEU_0</t>
  </si>
  <si>
    <t>Spain, Portugal</t>
  </si>
  <si>
    <t>IT_0</t>
  </si>
  <si>
    <t>Italy</t>
  </si>
  <si>
    <t>NL_0</t>
  </si>
  <si>
    <t>Netherlands</t>
  </si>
  <si>
    <t>NO_0</t>
  </si>
  <si>
    <t>Norway</t>
  </si>
  <si>
    <t>PL_0</t>
  </si>
  <si>
    <t>Poland</t>
  </si>
  <si>
    <t>SE_0</t>
  </si>
  <si>
    <t>Sweden</t>
  </si>
  <si>
    <t>UKI_0</t>
  </si>
  <si>
    <t>United Kingdom, Ireland</t>
  </si>
  <si>
    <t>NUTS 1 Codes and countries</t>
  </si>
  <si>
    <t>NUTS 1 Code</t>
  </si>
  <si>
    <t>Region</t>
  </si>
  <si>
    <t>Country</t>
  </si>
  <si>
    <t>AT1</t>
  </si>
  <si>
    <t>Ostösterreich</t>
  </si>
  <si>
    <t>AT2</t>
  </si>
  <si>
    <t>Südösterreich</t>
  </si>
  <si>
    <t>AT3</t>
  </si>
  <si>
    <t>Westösterreich</t>
  </si>
  <si>
    <t>BE1</t>
  </si>
  <si>
    <t>Région de Bruxelles-Capitale / Brussels Hoofdstedelijk Gewest</t>
  </si>
  <si>
    <t>Belgium</t>
  </si>
  <si>
    <t>BE2</t>
  </si>
  <si>
    <t>Vlaams Gewest</t>
  </si>
  <si>
    <t>BE3</t>
  </si>
  <si>
    <t>Région wallonne</t>
  </si>
  <si>
    <t>CY0</t>
  </si>
  <si>
    <t>Kypros</t>
  </si>
  <si>
    <t>Cyprus</t>
  </si>
  <si>
    <t>CZ0</t>
  </si>
  <si>
    <t>Česká republika</t>
  </si>
  <si>
    <t>DK0</t>
  </si>
  <si>
    <t>Danmark</t>
  </si>
  <si>
    <t>EE0</t>
  </si>
  <si>
    <t>Eesti</t>
  </si>
  <si>
    <t>Estonia</t>
  </si>
  <si>
    <t>FI1</t>
  </si>
  <si>
    <t>Manner-Suomi</t>
  </si>
  <si>
    <t>FI2</t>
  </si>
  <si>
    <t>Åland</t>
  </si>
  <si>
    <t>FR1</t>
  </si>
  <si>
    <t>Île de France</t>
  </si>
  <si>
    <t>FRB</t>
  </si>
  <si>
    <t>Centre — Val de Loire</t>
  </si>
  <si>
    <t>FRC</t>
  </si>
  <si>
    <t>Bourgogne-Franche-Comté</t>
  </si>
  <si>
    <t>FRD</t>
  </si>
  <si>
    <t>Normandie</t>
  </si>
  <si>
    <t>FRE</t>
  </si>
  <si>
    <t>Nord-Pas de Calais-Picardie</t>
  </si>
  <si>
    <t>FRF</t>
  </si>
  <si>
    <t>Alsace-Champagne-Ardenne-Lorraine</t>
  </si>
  <si>
    <t>FRG</t>
  </si>
  <si>
    <t>Pays de La Loire</t>
  </si>
  <si>
    <t>FRH</t>
  </si>
  <si>
    <t>Bretagne</t>
  </si>
  <si>
    <t>FRI</t>
  </si>
  <si>
    <t>Aquitaine-Limousin-Poitou-Charentes</t>
  </si>
  <si>
    <t>FRJ</t>
  </si>
  <si>
    <t>Languedoc-Roussillon-Midi-Pyrénées</t>
  </si>
  <si>
    <t>FRK</t>
  </si>
  <si>
    <t>Auvergne-Rhône-Alpes</t>
  </si>
  <si>
    <t>FRL</t>
  </si>
  <si>
    <t>Provence-Alpes-Côte D’azur</t>
  </si>
  <si>
    <t>FRM</t>
  </si>
  <si>
    <t>Corse</t>
  </si>
  <si>
    <t>FRY</t>
  </si>
  <si>
    <t>RUP FR — Régions Ultrapériphériques Françaises</t>
  </si>
  <si>
    <t>DE1</t>
  </si>
  <si>
    <t>Baden-Württemberg</t>
  </si>
  <si>
    <t>DE2</t>
  </si>
  <si>
    <t>Bayern</t>
  </si>
  <si>
    <t>DE3</t>
  </si>
  <si>
    <t>Berlin</t>
  </si>
  <si>
    <t>DE4</t>
  </si>
  <si>
    <t>Brandenburg</t>
  </si>
  <si>
    <t>DE5</t>
  </si>
  <si>
    <t>Bremen</t>
  </si>
  <si>
    <t>DE6</t>
  </si>
  <si>
    <t>Hamburg</t>
  </si>
  <si>
    <t>DE7</t>
  </si>
  <si>
    <t>Hessen</t>
  </si>
  <si>
    <t>DE8</t>
  </si>
  <si>
    <t>Mecklenburg-Vorpommern</t>
  </si>
  <si>
    <t>DE9</t>
  </si>
  <si>
    <t>Niedersachsen</t>
  </si>
  <si>
    <t>DEA</t>
  </si>
  <si>
    <t>Nordrhein-Westfalen</t>
  </si>
  <si>
    <t>DEB</t>
  </si>
  <si>
    <t>Rheinland-Pfalz</t>
  </si>
  <si>
    <t>DEC</t>
  </si>
  <si>
    <t>Saarland</t>
  </si>
  <si>
    <t>DED</t>
  </si>
  <si>
    <t>Sachsen</t>
  </si>
  <si>
    <t>DEE</t>
  </si>
  <si>
    <t>Sachsen-Anhalt</t>
  </si>
  <si>
    <t>DEF</t>
  </si>
  <si>
    <t>Schleswig-Holstein</t>
  </si>
  <si>
    <t>DEG</t>
  </si>
  <si>
    <t>Thüringen</t>
  </si>
  <si>
    <t>EL3</t>
  </si>
  <si>
    <t>Attiki</t>
  </si>
  <si>
    <t>Greece</t>
  </si>
  <si>
    <t>EL4</t>
  </si>
  <si>
    <t>Nisia Aigaiou, Kriti</t>
  </si>
  <si>
    <t>EL5</t>
  </si>
  <si>
    <t>Voreia Ellada</t>
  </si>
  <si>
    <t>EL6</t>
  </si>
  <si>
    <t>Kentriki Ellada</t>
  </si>
  <si>
    <t>HU1</t>
  </si>
  <si>
    <t>Közép-Magyarország</t>
  </si>
  <si>
    <t>Hungary</t>
  </si>
  <si>
    <t>HU2</t>
  </si>
  <si>
    <t>Dunántúl</t>
  </si>
  <si>
    <t>HU3</t>
  </si>
  <si>
    <t>Alföld és Észak</t>
  </si>
  <si>
    <t>IE0</t>
  </si>
  <si>
    <t>Éire/Ireland</t>
  </si>
  <si>
    <t>Ireland</t>
  </si>
  <si>
    <t>ITC</t>
  </si>
  <si>
    <t>Nord-Ovest</t>
  </si>
  <si>
    <t>ITF</t>
  </si>
  <si>
    <t>Sud</t>
  </si>
  <si>
    <t>ITG</t>
  </si>
  <si>
    <t>Isole</t>
  </si>
  <si>
    <t>ITH</t>
  </si>
  <si>
    <t>Nord-Est</t>
  </si>
  <si>
    <t>ITI</t>
  </si>
  <si>
    <t>Centro (IT)</t>
  </si>
  <si>
    <t>LV0</t>
  </si>
  <si>
    <t>Latvija</t>
  </si>
  <si>
    <t>Latvia</t>
  </si>
  <si>
    <t>LT0</t>
  </si>
  <si>
    <t>Lietuva</t>
  </si>
  <si>
    <t>Lithuania</t>
  </si>
  <si>
    <t>LU0</t>
  </si>
  <si>
    <t>Luxembourg</t>
  </si>
  <si>
    <t>MT0</t>
  </si>
  <si>
    <t>Malta</t>
  </si>
  <si>
    <t>NL1</t>
  </si>
  <si>
    <t>Noord-Nederland</t>
  </si>
  <si>
    <t>NL2</t>
  </si>
  <si>
    <t>Oost-Nederland</t>
  </si>
  <si>
    <t>NL3</t>
  </si>
  <si>
    <t>West-Nederland</t>
  </si>
  <si>
    <t>NL4</t>
  </si>
  <si>
    <t>Zuid-Nederland</t>
  </si>
  <si>
    <t>PL2</t>
  </si>
  <si>
    <t>Makroregion Południowy</t>
  </si>
  <si>
    <t>PL4</t>
  </si>
  <si>
    <t>Makroregion Północno-Zachodni</t>
  </si>
  <si>
    <t>PL5</t>
  </si>
  <si>
    <t>Makroregion Południowo-Zachodni</t>
  </si>
  <si>
    <t>PL6</t>
  </si>
  <si>
    <t>Makroregion Północny</t>
  </si>
  <si>
    <t>PL7</t>
  </si>
  <si>
    <t>Makroregion Centralny</t>
  </si>
  <si>
    <t>PL8</t>
  </si>
  <si>
    <t>Makroregion Wschodni</t>
  </si>
  <si>
    <t>PL9</t>
  </si>
  <si>
    <t>Makroregion Województwo Mazowieckie</t>
  </si>
  <si>
    <t>PT1</t>
  </si>
  <si>
    <t>Continente</t>
  </si>
  <si>
    <t>Portugal</t>
  </si>
  <si>
    <t>PT2</t>
  </si>
  <si>
    <t>Região Autónoma dos Açores</t>
  </si>
  <si>
    <t>PT3</t>
  </si>
  <si>
    <t>Região Autónoma da Madeira</t>
  </si>
  <si>
    <t>SK0</t>
  </si>
  <si>
    <t>Slovensko</t>
  </si>
  <si>
    <t>Slovakia</t>
  </si>
  <si>
    <t>SI0</t>
  </si>
  <si>
    <t>Slovenija</t>
  </si>
  <si>
    <t>Slovenia</t>
  </si>
  <si>
    <t>ES1</t>
  </si>
  <si>
    <t>Noroeste</t>
  </si>
  <si>
    <t>Spain</t>
  </si>
  <si>
    <t>ES2</t>
  </si>
  <si>
    <t>Noreste</t>
  </si>
  <si>
    <t>ES3</t>
  </si>
  <si>
    <t>Comunidad de Madrid</t>
  </si>
  <si>
    <t>ES4</t>
  </si>
  <si>
    <t>Centro (ES)</t>
  </si>
  <si>
    <t>ES5</t>
  </si>
  <si>
    <t>Este</t>
  </si>
  <si>
    <t>ES6</t>
  </si>
  <si>
    <t>Sur</t>
  </si>
  <si>
    <t>ES7</t>
  </si>
  <si>
    <t>Canarias</t>
  </si>
  <si>
    <t>SE1</t>
  </si>
  <si>
    <t>Östra Sverige</t>
  </si>
  <si>
    <t>SE2</t>
  </si>
  <si>
    <t>Södra Sverige</t>
  </si>
  <si>
    <t>SE3</t>
  </si>
  <si>
    <t>Norra Sverige</t>
  </si>
  <si>
    <t>UKC</t>
  </si>
  <si>
    <t>North East (England)</t>
  </si>
  <si>
    <t>United Kingdom</t>
  </si>
  <si>
    <t>UKD</t>
  </si>
  <si>
    <t>North West (England)</t>
  </si>
  <si>
    <t>UKE</t>
  </si>
  <si>
    <t>Yorkshire and The Humber</t>
  </si>
  <si>
    <t>UKF</t>
  </si>
  <si>
    <t>East Midlands (England)</t>
  </si>
  <si>
    <t>UKG</t>
  </si>
  <si>
    <t>West Midlands (England)</t>
  </si>
  <si>
    <t>UKH</t>
  </si>
  <si>
    <t>East of England</t>
  </si>
  <si>
    <t>UKI</t>
  </si>
  <si>
    <t>London</t>
  </si>
  <si>
    <t>UKJ</t>
  </si>
  <si>
    <t>South East (England)</t>
  </si>
  <si>
    <t>UKK</t>
  </si>
  <si>
    <t>South West (England)</t>
  </si>
  <si>
    <t>UKL</t>
  </si>
  <si>
    <t>Wales</t>
  </si>
  <si>
    <t>UKM</t>
  </si>
  <si>
    <t>Scotland</t>
  </si>
  <si>
    <t>UKN</t>
  </si>
  <si>
    <t>Northern Ireland</t>
  </si>
  <si>
    <t>RO1</t>
  </si>
  <si>
    <t>Macroregiunea unu</t>
  </si>
  <si>
    <t>Romania</t>
  </si>
  <si>
    <t>RO2</t>
  </si>
  <si>
    <t>Macroregiunea doi</t>
  </si>
  <si>
    <t>RO3</t>
  </si>
  <si>
    <t>Macroregiunea trei</t>
  </si>
  <si>
    <t>RO4</t>
  </si>
  <si>
    <t>Macroregiunea patru</t>
  </si>
  <si>
    <t>BG3</t>
  </si>
  <si>
    <t>Severna i yugoiztochna Bulgaria</t>
  </si>
  <si>
    <t>Bulgaria</t>
  </si>
  <si>
    <t>BG4</t>
  </si>
  <si>
    <t>Yugozapadna i yuzhna tsentralna Bulgaria</t>
  </si>
  <si>
    <t>HR0</t>
  </si>
  <si>
    <t>Hrvatska</t>
  </si>
  <si>
    <t>Croatia</t>
  </si>
  <si>
    <t>Table 16. Hydrogen demand in final energy in countries and regions including demand for feedstocks (Excluding hydrogen as interim product in current industries like refineries or ammonia.)</t>
  </si>
  <si>
    <t>Industry (TWh)</t>
  </si>
  <si>
    <t>Buildings (TWh)</t>
  </si>
  <si>
    <t>Transport (TWh)</t>
  </si>
  <si>
    <t>Total in demand sectors (TWh)</t>
  </si>
  <si>
    <t xml:space="preserve">    United Kingdom</t>
  </si>
  <si>
    <t>Hydrogen demand from industry, buildings and transport by NUTS 1 region  including demand for feedstocks (Excluding hydrogen as interim product in current industries like refineries or ammonia.)</t>
  </si>
  <si>
    <t>Industry</t>
  </si>
  <si>
    <t>Residential Buildings</t>
  </si>
  <si>
    <t>Tertiary Buildings</t>
  </si>
  <si>
    <t>Transport</t>
  </si>
  <si>
    <t>Scenario</t>
  </si>
  <si>
    <t>NUTS 1 region</t>
  </si>
  <si>
    <t>Unit</t>
  </si>
  <si>
    <t>TWh</t>
  </si>
  <si>
    <t>Hydrogen demand from the conversion sector (central electricity and heat supply)</t>
  </si>
  <si>
    <t>Balkans</t>
  </si>
  <si>
    <t>Baltics</t>
  </si>
  <si>
    <t>Belgium + Luxembourg</t>
  </si>
  <si>
    <t>DE_1</t>
  </si>
  <si>
    <t>DE_2</t>
  </si>
  <si>
    <t>DE_3</t>
  </si>
  <si>
    <t>DE_4</t>
  </si>
  <si>
    <t>DE_5</t>
  </si>
  <si>
    <t>DE_6</t>
  </si>
  <si>
    <t>Iberia</t>
  </si>
  <si>
    <t>United Kingdom + Ireland</t>
  </si>
  <si>
    <t>Energy Carrier</t>
  </si>
  <si>
    <t>Year</t>
  </si>
  <si>
    <t>Total</t>
  </si>
  <si>
    <t>EU27+UK</t>
  </si>
  <si>
    <t>Net transfer capacities for hydrogen in GW in 2030</t>
  </si>
  <si>
    <t>Net transfer capacities for hydrogen in GW in 2050</t>
  </si>
  <si>
    <t>Source</t>
  </si>
  <si>
    <t>Target</t>
  </si>
  <si>
    <t>S1</t>
  </si>
  <si>
    <t>S2</t>
  </si>
  <si>
    <t>S4</t>
  </si>
  <si>
    <t>S5</t>
  </si>
  <si>
    <t>Storage potential capacity in TWh</t>
  </si>
  <si>
    <t>BAK_0</t>
  </si>
  <si>
    <t>BUG_0</t>
  </si>
  <si>
    <t>DE_1O</t>
  </si>
  <si>
    <t>HUK_0</t>
  </si>
  <si>
    <t>RO_0</t>
  </si>
  <si>
    <t xml:space="preserve">Sub sector </t>
  </si>
  <si>
    <t xml:space="preserve">Product </t>
  </si>
  <si>
    <t xml:space="preserve">Process </t>
  </si>
  <si>
    <t xml:space="preserve">Iron and Steel </t>
  </si>
  <si>
    <t>Crude steel</t>
  </si>
  <si>
    <t>Blast furnace</t>
  </si>
  <si>
    <t xml:space="preserve">Mt </t>
  </si>
  <si>
    <t>DR RES hydrogen</t>
  </si>
  <si>
    <t>Electric arc furnace*</t>
  </si>
  <si>
    <t>Chemical sector</t>
  </si>
  <si>
    <t xml:space="preserve">Ammonia </t>
  </si>
  <si>
    <t>Ammonia</t>
  </si>
  <si>
    <t>Ammonia H2</t>
  </si>
  <si>
    <t>Ethylene (HVC)</t>
  </si>
  <si>
    <t>Conventional steam cracker (fossil naphtha)</t>
  </si>
  <si>
    <t>Electrical steam cracker (green naphtha)*</t>
  </si>
  <si>
    <t>Ethylene methanol-based (MTO)</t>
  </si>
  <si>
    <t>Non-metallic mineral products</t>
  </si>
  <si>
    <t xml:space="preserve">Cement and lime </t>
  </si>
  <si>
    <t>Cement  primary production</t>
  </si>
  <si>
    <t>Cement  secondary production</t>
  </si>
  <si>
    <t>Clinker</t>
  </si>
  <si>
    <t>Aluminum</t>
  </si>
  <si>
    <t>Aluminum, primary</t>
  </si>
  <si>
    <t>Aluminum, secondary</t>
  </si>
  <si>
    <t>Glass</t>
  </si>
  <si>
    <t>Container glass</t>
  </si>
  <si>
    <t>Fiber glass</t>
  </si>
  <si>
    <t>Flat glass</t>
  </si>
  <si>
    <t>Other glass</t>
  </si>
  <si>
    <t>Paper and printing</t>
  </si>
  <si>
    <t>Paper products</t>
  </si>
  <si>
    <t>Paper</t>
  </si>
  <si>
    <t>Electric arc furnace</t>
  </si>
  <si>
    <t xml:space="preserve">Imported sponge iron </t>
  </si>
  <si>
    <t>* Including import</t>
  </si>
  <si>
    <t>Subsector</t>
  </si>
  <si>
    <t>Process</t>
  </si>
  <si>
    <t>Energy demand</t>
  </si>
  <si>
    <t>Feedstock  demand  (GJ/t)</t>
  </si>
  <si>
    <t xml:space="preserve">Temperature distribution </t>
  </si>
  <si>
    <t>Data Source</t>
  </si>
  <si>
    <t>Fuels (GJ/t)</t>
  </si>
  <si>
    <t>Electricity (GJ/t)</t>
  </si>
  <si>
    <t>&lt; 100 °C</t>
  </si>
  <si>
    <t>&lt; 100–200 °C</t>
  </si>
  <si>
    <t>200–500 °C</t>
  </si>
  <si>
    <t>500–1000 °C</t>
  </si>
  <si>
    <t>&gt; 1000 °C</t>
  </si>
  <si>
    <t>Iron and steel</t>
  </si>
  <si>
    <t>Sinter</t>
  </si>
  <si>
    <t>Rehfeldt et al. 2018, Arens et al. 2012, 2016</t>
  </si>
  <si>
    <t>Processed steel</t>
  </si>
  <si>
    <t>Rolled steel</t>
  </si>
  <si>
    <t>Coke</t>
  </si>
  <si>
    <t>Coke oven</t>
  </si>
  <si>
    <t>Brauer 1996</t>
  </si>
  <si>
    <t>Smelting reduction</t>
  </si>
  <si>
    <t>Hara et al. 1999, Primetals 2015</t>
  </si>
  <si>
    <t>Raw iron</t>
  </si>
  <si>
    <t xml:space="preserve">Direct reduction </t>
  </si>
  <si>
    <t xml:space="preserve"> Midrex 2013, Cheeley 1999</t>
  </si>
  <si>
    <t>Direct reduction  Hydrogen</t>
  </si>
  <si>
    <t>Neuwirth et al. 2022, Vogl et al. 2018, Midrex 2013, Cheeley 1999</t>
  </si>
  <si>
    <t>Chemical industry</t>
  </si>
  <si>
    <t>Rehfeldt et al. 2018, Fleiter et al. 2013, Büchel et al. 1999</t>
  </si>
  <si>
    <t xml:space="preserve">Ammonia H2 </t>
  </si>
  <si>
    <t>Geres et al. 2019</t>
  </si>
  <si>
    <t xml:space="preserve">Olefins </t>
  </si>
  <si>
    <t>Ethylene steam Cracker</t>
  </si>
  <si>
    <t>Fleiter et al. 2013, Weissermel, Arpe 1998</t>
  </si>
  <si>
    <t>Ethylene methanol-based (Methanol-to-Olefins)</t>
  </si>
  <si>
    <t>Neuwirth et al. 2022, Geres et al. 2019, Wagemann 2014</t>
  </si>
  <si>
    <t>Methanol</t>
  </si>
  <si>
    <t>Fleiter et al. 2013, Weissermel, Arpe 1998 (synthesis gas)</t>
  </si>
  <si>
    <t>Methanol H2</t>
  </si>
  <si>
    <t>Other chemicals</t>
  </si>
  <si>
    <t>Adipic acid</t>
  </si>
  <si>
    <t>Rehfeldt et al. 2018, Fleiter et al. 2013, Weissermel, Arpe 1998</t>
  </si>
  <si>
    <t>Calcium carbide</t>
  </si>
  <si>
    <t>Carbon black</t>
  </si>
  <si>
    <t>Rehfeldt et al. 2018, Fleiter et al. 2013,  Büchel et al. 1999</t>
  </si>
  <si>
    <t>Chlorine, diaphragma</t>
  </si>
  <si>
    <t>Chlorine, membrane</t>
  </si>
  <si>
    <t>Chlorine, mercury</t>
  </si>
  <si>
    <t>Nitric acid</t>
  </si>
  <si>
    <t>Fleiter et al. 2013</t>
  </si>
  <si>
    <t>Oxygen</t>
  </si>
  <si>
    <t>Poly carbonate</t>
  </si>
  <si>
    <t>Polyethylene</t>
  </si>
  <si>
    <t>Polypropylene</t>
  </si>
  <si>
    <t>Polysulfones</t>
  </si>
  <si>
    <t>Soda ash</t>
  </si>
  <si>
    <t>Fleiter et al. 2013, Büchel et al. 1999</t>
  </si>
  <si>
    <t>TDI</t>
  </si>
  <si>
    <t>Weissermel, Arpe 1998</t>
  </si>
  <si>
    <t>Titanium dioxide</t>
  </si>
  <si>
    <t>Clinker Calcination-Dry</t>
  </si>
  <si>
    <t>Rahman et al. 2013, Patil&amp;Khond 2014,  Büchel et al. 1999</t>
  </si>
  <si>
    <t>Clinker Calcination-Semidry</t>
  </si>
  <si>
    <t>Clinker Calcination-Wet</t>
  </si>
  <si>
    <t>Cement</t>
  </si>
  <si>
    <t>Cement grinding</t>
  </si>
  <si>
    <t>Other minerals</t>
  </si>
  <si>
    <t>Lime burning</t>
  </si>
  <si>
    <t>Gutierrez, Vandecasteele 2011, Büchel et al. 1999</t>
  </si>
  <si>
    <t>Ceramics</t>
  </si>
  <si>
    <t>Houseware, sanitary ware</t>
  </si>
  <si>
    <t>Rehfeldt et al. 2018, Fleiter et al. 2013, BREF Ceramic 2007, Büchel et al. 1999</t>
  </si>
  <si>
    <t>Technical, other ceramics</t>
  </si>
  <si>
    <t>Tiles, plates, refractories</t>
  </si>
  <si>
    <t>Container glass  (Natural Gas)</t>
  </si>
  <si>
    <t>BREF Glass 2013, Büchel et al. 1999</t>
  </si>
  <si>
    <t>Container glass  (hydorgen)</t>
  </si>
  <si>
    <t>Container glass  (electric melting furnace)</t>
  </si>
  <si>
    <t>Fibre glass</t>
  </si>
  <si>
    <t>Preperation of limestone</t>
  </si>
  <si>
    <t>Rehfeldt et al. 2018</t>
  </si>
  <si>
    <t>Gypsum</t>
  </si>
  <si>
    <t>Bundesverband der Gipsindustrie 2013, Büchel et al. 1999</t>
  </si>
  <si>
    <t>Lime milling</t>
  </si>
  <si>
    <t>Bricks</t>
  </si>
  <si>
    <t>Fleiter et al. 2013, Dondi et al. 1997</t>
  </si>
  <si>
    <t>Non-ferrous metals</t>
  </si>
  <si>
    <t>NE metals</t>
  </si>
  <si>
    <t>Aluminium, primary</t>
  </si>
  <si>
    <t>Rehfeldt et al. 2018, Fleiter et al. 2013, Winnacker-Küchler 2006</t>
  </si>
  <si>
    <t>Aluminium, secondary</t>
  </si>
  <si>
    <t>Krone 2000</t>
  </si>
  <si>
    <t>Aluminium extruding</t>
  </si>
  <si>
    <t>Aluminium foundries</t>
  </si>
  <si>
    <t>Rehfeldt et al. 2018, Fleiter et al. 2013, Krone 2000</t>
  </si>
  <si>
    <t>Aluminium rolling</t>
  </si>
  <si>
    <t>Copper, primary</t>
  </si>
  <si>
    <t>Copper, secondary</t>
  </si>
  <si>
    <t>Rehfeldt et al. 2018, Winnacker-Küchler 2006</t>
  </si>
  <si>
    <t>Copper further treatment</t>
  </si>
  <si>
    <t xml:space="preserve"> Rehfeldt et al. 2018, Winnacker-Küchler 2006</t>
  </si>
  <si>
    <t>Zinc, primary</t>
  </si>
  <si>
    <t>Zinc, secondary</t>
  </si>
  <si>
    <t>Fleiter et al. 2013, Fleiter et al. 2012,van Deventer 1997</t>
  </si>
  <si>
    <t>Chemical pulp</t>
  </si>
  <si>
    <t>Fleiter et al. 2013, Fleiter et al. 2012,  Bakhtiari et al. 2010</t>
  </si>
  <si>
    <t>Mechanical pulp</t>
  </si>
  <si>
    <t>Fleiter et al. 2013, Fleiter et al. 2012, Laurijssen et al. 2012</t>
  </si>
  <si>
    <t>Recovered fibres</t>
  </si>
  <si>
    <t>Paper Electrical</t>
  </si>
  <si>
    <t>as paper conventional</t>
  </si>
  <si>
    <t>Food, drink and tobacco</t>
  </si>
  <si>
    <t>Food</t>
  </si>
  <si>
    <t>Sugar</t>
  </si>
  <si>
    <t>Fleiter et al. 2013, Lauterbach et al. 2012</t>
  </si>
  <si>
    <t>Dairy</t>
  </si>
  <si>
    <t>Brewing</t>
  </si>
  <si>
    <t>Meat processing</t>
  </si>
  <si>
    <t>Bread and bakery</t>
  </si>
  <si>
    <t>Starch</t>
  </si>
  <si>
    <t xml:space="preserve">Parameter </t>
  </si>
  <si>
    <t xml:space="preserve">CCS diffusion by process </t>
  </si>
  <si>
    <t xml:space="preserve"> Clincker</t>
  </si>
  <si>
    <t xml:space="preserve">% </t>
  </si>
  <si>
    <t xml:space="preserve">Own assumptions </t>
  </si>
  <si>
    <t xml:space="preserve">CCS energy demand </t>
  </si>
  <si>
    <t>GJ/t CO2 captured</t>
  </si>
  <si>
    <t>Kuramochi et al. 2016</t>
  </si>
  <si>
    <t>Sector</t>
  </si>
  <si>
    <t>Component</t>
  </si>
  <si>
    <t>S1-S5</t>
  </si>
  <si>
    <t>Residential</t>
  </si>
  <si>
    <t>Wall</t>
  </si>
  <si>
    <t>year</t>
  </si>
  <si>
    <t>Window</t>
  </si>
  <si>
    <t>Roof</t>
  </si>
  <si>
    <t>Basement</t>
  </si>
  <si>
    <t>Tertiary</t>
  </si>
  <si>
    <t>S1-S4</t>
  </si>
  <si>
    <t>Direct electric heater</t>
  </si>
  <si>
    <t>Night storage heater</t>
  </si>
  <si>
    <t>Coal boiler</t>
  </si>
  <si>
    <t>Gas boiler</t>
  </si>
  <si>
    <t>Gas heat pump</t>
  </si>
  <si>
    <t>Oil boiler</t>
  </si>
  <si>
    <t>Solar thermal coupled with gas / oil boiler</t>
  </si>
  <si>
    <t>Biomass boiler</t>
  </si>
  <si>
    <t>Electrical heat pump (air-sourced)</t>
  </si>
  <si>
    <t>Electrical heat pump (groundwater-sourced)</t>
  </si>
  <si>
    <t>Electrical heat pump (ground-sourced)</t>
  </si>
  <si>
    <t>Electrical heat pump (air-sourced with 15% solar)</t>
  </si>
  <si>
    <t>Electrical heat pump (groundwater-sourced with 15% solar)</t>
  </si>
  <si>
    <t>Electrical heat pump (ground-sourced with 15% solar)</t>
  </si>
  <si>
    <t>Biogas boiler</t>
  </si>
  <si>
    <t>Hydrogen boiler</t>
  </si>
  <si>
    <t>Heating system</t>
  </si>
  <si>
    <t>Residential &amp; Tertiary</t>
  </si>
  <si>
    <t>fraction</t>
  </si>
  <si>
    <t>Oil</t>
  </si>
  <si>
    <t>Oil boiler combined with solar thermal</t>
  </si>
  <si>
    <t>Solar</t>
  </si>
  <si>
    <t>Solar thermal coupled with gas boiler</t>
  </si>
  <si>
    <t>Electrical heat pump (ground water-sourced)</t>
  </si>
  <si>
    <t>Electrical heat pump (air-sourced) with 15% solar thermal</t>
  </si>
  <si>
    <t>Electrical heat pump (ground water-sourced) with 15% solar thermal</t>
  </si>
  <si>
    <t>Electrical heat pump (ground-sourced) with 15% solar thermal</t>
  </si>
  <si>
    <t>Biogas</t>
  </si>
  <si>
    <t>Passenger Cars</t>
  </si>
  <si>
    <t>Gpkm</t>
  </si>
  <si>
    <t>Buses and coaches</t>
  </si>
  <si>
    <t>Heavy Duty Vehicles</t>
  </si>
  <si>
    <t>Gtkm</t>
  </si>
  <si>
    <t>Rail Passenger</t>
  </si>
  <si>
    <t>Rail Freight</t>
  </si>
  <si>
    <t>Inland Shipping</t>
  </si>
  <si>
    <t>International Shipping</t>
  </si>
  <si>
    <t>Inland (+ intra EU) Aviation</t>
  </si>
  <si>
    <t>Intern. (extra EU) Aviation</t>
  </si>
  <si>
    <t>* for EU27</t>
  </si>
  <si>
    <t>Drive</t>
  </si>
  <si>
    <t>Diesel</t>
  </si>
  <si>
    <t>kWh/pkm</t>
  </si>
  <si>
    <t>FCEV</t>
  </si>
  <si>
    <t>BEV</t>
  </si>
  <si>
    <t>Rail passenger</t>
  </si>
  <si>
    <t>Electric (incl. BEV)</t>
  </si>
  <si>
    <t>Rail freight</t>
  </si>
  <si>
    <t>kWh/tkm</t>
  </si>
  <si>
    <t>Inland shipping</t>
  </si>
  <si>
    <t>Combustion</t>
  </si>
  <si>
    <t>International shipping</t>
  </si>
  <si>
    <t>Combustion (incl. novel fuels)</t>
  </si>
  <si>
    <t>Heavy duty vehicles &lt;3.5t</t>
  </si>
  <si>
    <t>Heavy duty vehicles &lt; 3.5t</t>
  </si>
  <si>
    <t>Heavy duty vehicles 3.5-7.5t</t>
  </si>
  <si>
    <t>Heavy duty vehicles 7.5-12t</t>
  </si>
  <si>
    <t>Heavy duty vehicles &gt;12t</t>
  </si>
  <si>
    <t>Heavy duty vehicles SZM</t>
  </si>
  <si>
    <t>Aviation national (short flights)</t>
  </si>
  <si>
    <t>Kerosine</t>
  </si>
  <si>
    <t>Aviation international (long flights)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</si>
</sst>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0.0"/>
    <numFmt numFmtId="167" formatCode="_-* #,##0.00\ _€_-;\-* #,##0.00\ _€_-;_-* &quot;-&quot;??\ _€_-;_-@_-"/>
    <numFmt numFmtId="168" formatCode="0.000"/>
    <numFmt numFmtId="169" formatCode="_-* #,##0_-;\-* #,##0_-;_-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Times New Roman"/>
      <family val="1"/>
    </font>
    <font>
      <sz val="8"/>
      <name val="Times"/>
      <family val="1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9"/>
      <color rgb="FF44546A"/>
      <name val="Times New Roman"/>
      <family val="1"/>
    </font>
    <font>
      <sz val="12"/>
      <color theme="1"/>
      <name val="Times New Roman"/>
      <family val="1"/>
    </font>
    <font>
      <sz val="8"/>
      <color rgb="FF000000"/>
      <name val="Calibri"/>
      <family val="2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7.5"/>
      <color theme="1"/>
      <name val="Times New Roman"/>
      <family val="1"/>
    </font>
    <font>
      <b/>
      <sz val="7.5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2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" fillId="0" borderId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1" fillId="0" borderId="0"/>
    <xf numFmtId="164" fontId="10" fillId="0" borderId="0" applyFont="0" applyFill="0" applyBorder="0" applyAlignment="0" applyProtection="0"/>
    <xf numFmtId="0" fontId="7" fillId="0" borderId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164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45">
    <xf numFmtId="0" fontId="0" fillId="0" borderId="0" xfId="0"/>
    <xf numFmtId="166" fontId="0" fillId="0" borderId="1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/>
    <xf numFmtId="166" fontId="0" fillId="0" borderId="0" xfId="0" applyNumberFormat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17" xfId="0" applyBorder="1" applyAlignment="1">
      <alignment horizontal="left"/>
    </xf>
    <xf numFmtId="166" fontId="1" fillId="0" borderId="0" xfId="7" applyNumberFormat="1"/>
    <xf numFmtId="166" fontId="0" fillId="0" borderId="14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3" fillId="0" borderId="10" xfId="2" applyNumberFormat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1" xfId="1" applyFont="1" applyBorder="1"/>
    <xf numFmtId="166" fontId="0" fillId="0" borderId="5" xfId="0" applyNumberFormat="1" applyBorder="1" applyAlignment="1">
      <alignment horizontal="center" vertical="center"/>
    </xf>
    <xf numFmtId="0" fontId="0" fillId="0" borderId="10" xfId="0" applyBorder="1"/>
    <xf numFmtId="9" fontId="0" fillId="0" borderId="1" xfId="1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" xfId="0" applyBorder="1"/>
    <xf numFmtId="0" fontId="1" fillId="0" borderId="13" xfId="38" applyBorder="1" applyAlignment="1">
      <alignment horizontal="left" vertical="center"/>
    </xf>
    <xf numFmtId="0" fontId="0" fillId="0" borderId="8" xfId="0" applyBorder="1"/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" fontId="1" fillId="0" borderId="0" xfId="7" applyNumberFormat="1"/>
    <xf numFmtId="0" fontId="0" fillId="0" borderId="2" xfId="0" applyBorder="1"/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166" fontId="0" fillId="0" borderId="17" xfId="0" applyNumberFormat="1" applyBorder="1" applyAlignment="1">
      <alignment horizontal="center" vertical="center"/>
    </xf>
    <xf numFmtId="0" fontId="0" fillId="0" borderId="0" xfId="38" applyFont="1" applyAlignment="1">
      <alignment horizontal="left" vertical="center"/>
    </xf>
    <xf numFmtId="166" fontId="3" fillId="0" borderId="0" xfId="2" applyNumberFormat="1" applyAlignment="1">
      <alignment horizontal="center" vertical="center"/>
    </xf>
    <xf numFmtId="0" fontId="0" fillId="0" borderId="5" xfId="0" applyBorder="1"/>
    <xf numFmtId="166" fontId="0" fillId="0" borderId="10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3" fillId="0" borderId="0" xfId="2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/>
    <xf numFmtId="0" fontId="1" fillId="0" borderId="0" xfId="38" applyAlignment="1">
      <alignment horizontal="center" vertical="center"/>
    </xf>
    <xf numFmtId="0" fontId="0" fillId="0" borderId="14" xfId="0" applyBorder="1" applyAlignment="1">
      <alignment horizontal="left"/>
    </xf>
    <xf numFmtId="0" fontId="3" fillId="0" borderId="0" xfId="2" applyAlignment="1">
      <alignment horizontal="left"/>
    </xf>
    <xf numFmtId="0" fontId="1" fillId="0" borderId="0" xfId="38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8" xfId="0" applyFont="1" applyBorder="1" applyAlignment="1">
      <alignment horizontal="centerContinuous" vertical="center" wrapText="1"/>
    </xf>
    <xf numFmtId="0" fontId="13" fillId="0" borderId="1" xfId="0" applyFont="1" applyBorder="1" applyAlignment="1">
      <alignment horizontal="centerContinuous" vertical="center" wrapText="1"/>
    </xf>
    <xf numFmtId="0" fontId="13" fillId="0" borderId="9" xfId="0" applyFont="1" applyBorder="1" applyAlignment="1">
      <alignment horizontal="centerContinuous" vertical="center" wrapText="1"/>
    </xf>
    <xf numFmtId="0" fontId="0" fillId="2" borderId="0" xfId="0" applyFill="1" applyAlignment="1">
      <alignment horizontal="center" vertical="center"/>
    </xf>
    <xf numFmtId="0" fontId="3" fillId="0" borderId="7" xfId="2" applyBorder="1"/>
    <xf numFmtId="0" fontId="0" fillId="0" borderId="14" xfId="0" applyBorder="1"/>
    <xf numFmtId="165" fontId="3" fillId="0" borderId="4" xfId="211" applyFont="1" applyFill="1" applyBorder="1"/>
    <xf numFmtId="0" fontId="3" fillId="0" borderId="8" xfId="2" applyBorder="1"/>
    <xf numFmtId="165" fontId="3" fillId="0" borderId="5" xfId="211" applyFont="1" applyFill="1" applyBorder="1"/>
    <xf numFmtId="165" fontId="3" fillId="0" borderId="15" xfId="211" applyFont="1" applyFill="1" applyBorder="1"/>
    <xf numFmtId="0" fontId="0" fillId="0" borderId="10" xfId="0" applyBorder="1" applyAlignment="1">
      <alignment horizontal="left" vertical="center"/>
    </xf>
    <xf numFmtId="0" fontId="3" fillId="0" borderId="14" xfId="2" applyBorder="1" applyAlignment="1">
      <alignment horizontal="left"/>
    </xf>
    <xf numFmtId="0" fontId="3" fillId="0" borderId="12" xfId="2" applyBorder="1"/>
    <xf numFmtId="0" fontId="3" fillId="0" borderId="1" xfId="2" applyBorder="1"/>
    <xf numFmtId="0" fontId="3" fillId="0" borderId="10" xfId="2" applyBorder="1"/>
    <xf numFmtId="165" fontId="3" fillId="0" borderId="0" xfId="211" applyFont="1" applyFill="1" applyBorder="1"/>
    <xf numFmtId="0" fontId="0" fillId="0" borderId="8" xfId="0" applyBorder="1" applyAlignment="1">
      <alignment horizontal="left" vertical="center"/>
    </xf>
    <xf numFmtId="0" fontId="3" fillId="0" borderId="13" xfId="2" applyBorder="1"/>
    <xf numFmtId="0" fontId="0" fillId="0" borderId="10" xfId="0" applyBorder="1" applyAlignment="1">
      <alignment vertical="top"/>
    </xf>
    <xf numFmtId="165" fontId="3" fillId="0" borderId="10" xfId="211" applyFont="1" applyFill="1" applyBorder="1"/>
    <xf numFmtId="0" fontId="3" fillId="0" borderId="17" xfId="2" applyBorder="1"/>
    <xf numFmtId="0" fontId="3" fillId="0" borderId="10" xfId="2" applyBorder="1" applyAlignment="1">
      <alignment horizontal="left"/>
    </xf>
    <xf numFmtId="0" fontId="3" fillId="0" borderId="16" xfId="2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3" fillId="0" borderId="9" xfId="2" applyBorder="1"/>
    <xf numFmtId="0" fontId="0" fillId="0" borderId="7" xfId="0" applyBorder="1"/>
    <xf numFmtId="0" fontId="0" fillId="0" borderId="17" xfId="0" applyBorder="1" applyAlignment="1">
      <alignment horizontal="left" vertical="center"/>
    </xf>
    <xf numFmtId="165" fontId="3" fillId="0" borderId="16" xfId="211" applyFont="1" applyFill="1" applyBorder="1"/>
    <xf numFmtId="165" fontId="3" fillId="0" borderId="17" xfId="211" applyFont="1" applyFill="1" applyBorder="1"/>
    <xf numFmtId="0" fontId="3" fillId="0" borderId="14" xfId="2" applyBorder="1"/>
    <xf numFmtId="0" fontId="0" fillId="0" borderId="16" xfId="0" applyBorder="1" applyAlignment="1">
      <alignment horizontal="center" vertical="center"/>
    </xf>
    <xf numFmtId="0" fontId="3" fillId="0" borderId="15" xfId="2" applyBorder="1"/>
    <xf numFmtId="165" fontId="14" fillId="0" borderId="10" xfId="211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9" fontId="0" fillId="0" borderId="16" xfId="1" applyFont="1" applyBorder="1"/>
    <xf numFmtId="165" fontId="3" fillId="0" borderId="7" xfId="211" applyFont="1" applyFill="1" applyBorder="1"/>
    <xf numFmtId="165" fontId="3" fillId="0" borderId="6" xfId="211" applyFont="1" applyFill="1" applyBorder="1"/>
    <xf numFmtId="0" fontId="0" fillId="0" borderId="17" xfId="0" applyBorder="1"/>
    <xf numFmtId="9" fontId="0" fillId="0" borderId="16" xfId="1" applyFont="1" applyBorder="1" applyAlignment="1">
      <alignment horizontal="center" vertical="center"/>
    </xf>
    <xf numFmtId="0" fontId="16" fillId="0" borderId="0" xfId="0" applyFont="1"/>
    <xf numFmtId="0" fontId="2" fillId="0" borderId="0" xfId="324"/>
    <xf numFmtId="1" fontId="0" fillId="0" borderId="0" xfId="0" applyNumberFormat="1"/>
    <xf numFmtId="1" fontId="0" fillId="0" borderId="1" xfId="0" applyNumberFormat="1" applyBorder="1"/>
    <xf numFmtId="2" fontId="13" fillId="0" borderId="9" xfId="0" applyNumberFormat="1" applyFont="1" applyBorder="1" applyAlignment="1">
      <alignment horizontal="centerContinuous" vertical="center" wrapText="1"/>
    </xf>
    <xf numFmtId="2" fontId="13" fillId="0" borderId="8" xfId="0" applyNumberFormat="1" applyFont="1" applyBorder="1" applyAlignment="1">
      <alignment horizontal="centerContinuous" vertical="center" wrapText="1"/>
    </xf>
    <xf numFmtId="2" fontId="13" fillId="0" borderId="6" xfId="0" applyNumberFormat="1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2" fontId="3" fillId="0" borderId="1" xfId="2" applyNumberFormat="1" applyBorder="1" applyAlignment="1">
      <alignment horizontal="center"/>
    </xf>
    <xf numFmtId="2" fontId="3" fillId="0" borderId="8" xfId="2" applyNumberFormat="1" applyBorder="1" applyAlignment="1">
      <alignment horizontal="center"/>
    </xf>
    <xf numFmtId="2" fontId="3" fillId="0" borderId="0" xfId="2" applyNumberFormat="1" applyAlignment="1">
      <alignment horizontal="center"/>
    </xf>
    <xf numFmtId="2" fontId="3" fillId="0" borderId="10" xfId="2" applyNumberFormat="1" applyBorder="1" applyAlignment="1">
      <alignment horizontal="center"/>
    </xf>
    <xf numFmtId="2" fontId="3" fillId="0" borderId="13" xfId="2" applyNumberFormat="1" applyBorder="1" applyAlignment="1">
      <alignment horizontal="center"/>
    </xf>
    <xf numFmtId="2" fontId="3" fillId="0" borderId="16" xfId="2" applyNumberFormat="1" applyBorder="1" applyAlignment="1">
      <alignment horizontal="center"/>
    </xf>
    <xf numFmtId="2" fontId="3" fillId="0" borderId="17" xfId="2" applyNumberFormat="1" applyBorder="1" applyAlignment="1">
      <alignment horizontal="center"/>
    </xf>
    <xf numFmtId="2" fontId="3" fillId="0" borderId="14" xfId="2" applyNumberFormat="1" applyBorder="1" applyAlignment="1">
      <alignment horizontal="center"/>
    </xf>
    <xf numFmtId="2" fontId="3" fillId="0" borderId="16" xfId="211" applyNumberFormat="1" applyFont="1" applyFill="1" applyBorder="1" applyAlignment="1">
      <alignment horizontal="center"/>
    </xf>
    <xf numFmtId="2" fontId="3" fillId="0" borderId="0" xfId="211" applyNumberFormat="1" applyFont="1" applyFill="1" applyBorder="1" applyAlignment="1">
      <alignment horizontal="center"/>
    </xf>
    <xf numFmtId="2" fontId="3" fillId="0" borderId="5" xfId="211" applyNumberFormat="1" applyFont="1" applyFill="1" applyBorder="1" applyAlignment="1">
      <alignment horizontal="center"/>
    </xf>
    <xf numFmtId="2" fontId="3" fillId="0" borderId="4" xfId="2" applyNumberFormat="1" applyBorder="1" applyAlignment="1">
      <alignment horizontal="center"/>
    </xf>
    <xf numFmtId="2" fontId="3" fillId="0" borderId="9" xfId="2" applyNumberFormat="1" applyBorder="1" applyAlignment="1">
      <alignment horizontal="center"/>
    </xf>
    <xf numFmtId="2" fontId="3" fillId="0" borderId="7" xfId="2" applyNumberFormat="1" applyBorder="1" applyAlignment="1">
      <alignment horizontal="center"/>
    </xf>
    <xf numFmtId="2" fontId="3" fillId="0" borderId="12" xfId="2" applyNumberFormat="1" applyBorder="1" applyAlignment="1">
      <alignment horizontal="center"/>
    </xf>
    <xf numFmtId="2" fontId="3" fillId="0" borderId="15" xfId="2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3" fillId="0" borderId="15" xfId="211" applyNumberFormat="1" applyFont="1" applyFill="1" applyBorder="1" applyAlignment="1">
      <alignment horizontal="center"/>
    </xf>
    <xf numFmtId="2" fontId="3" fillId="0" borderId="17" xfId="211" applyNumberFormat="1" applyFont="1" applyFill="1" applyBorder="1" applyAlignment="1">
      <alignment horizontal="center"/>
    </xf>
    <xf numFmtId="2" fontId="3" fillId="0" borderId="7" xfId="211" applyNumberFormat="1" applyFont="1" applyFill="1" applyBorder="1" applyAlignment="1">
      <alignment horizontal="center"/>
    </xf>
    <xf numFmtId="2" fontId="3" fillId="0" borderId="10" xfId="211" applyNumberFormat="1" applyFont="1" applyFill="1" applyBorder="1" applyAlignment="1">
      <alignment horizontal="center"/>
    </xf>
    <xf numFmtId="2" fontId="3" fillId="0" borderId="6" xfId="211" applyNumberFormat="1" applyFont="1" applyFill="1" applyBorder="1" applyAlignment="1">
      <alignment horizontal="center"/>
    </xf>
    <xf numFmtId="2" fontId="3" fillId="0" borderId="4" xfId="211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left"/>
    </xf>
    <xf numFmtId="3" fontId="0" fillId="0" borderId="0" xfId="0" applyNumberFormat="1"/>
    <xf numFmtId="3" fontId="0" fillId="0" borderId="1" xfId="0" applyNumberFormat="1" applyBorder="1" applyAlignment="1">
      <alignment horizontal="right"/>
    </xf>
    <xf numFmtId="0" fontId="0" fillId="0" borderId="20" xfId="0" applyBorder="1"/>
    <xf numFmtId="168" fontId="17" fillId="0" borderId="0" xfId="0" applyNumberFormat="1" applyFont="1"/>
    <xf numFmtId="168" fontId="0" fillId="0" borderId="0" xfId="0" applyNumberFormat="1"/>
    <xf numFmtId="0" fontId="17" fillId="0" borderId="0" xfId="0" applyFont="1"/>
    <xf numFmtId="0" fontId="16" fillId="0" borderId="22" xfId="0" applyFont="1" applyBorder="1"/>
    <xf numFmtId="0" fontId="16" fillId="0" borderId="23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24" xfId="0" applyFont="1" applyBorder="1"/>
    <xf numFmtId="0" fontId="0" fillId="0" borderId="21" xfId="0" applyBorder="1"/>
    <xf numFmtId="2" fontId="0" fillId="0" borderId="24" xfId="0" applyNumberFormat="1" applyBorder="1"/>
    <xf numFmtId="2" fontId="0" fillId="0" borderId="21" xfId="0" applyNumberFormat="1" applyBorder="1"/>
    <xf numFmtId="2" fontId="0" fillId="0" borderId="25" xfId="0" applyNumberFormat="1" applyBorder="1"/>
    <xf numFmtId="2" fontId="0" fillId="0" borderId="22" xfId="0" applyNumberFormat="1" applyBorder="1"/>
    <xf numFmtId="2" fontId="0" fillId="0" borderId="0" xfId="0" applyNumberFormat="1"/>
    <xf numFmtId="2" fontId="0" fillId="0" borderId="23" xfId="0" applyNumberFormat="1" applyBorder="1"/>
    <xf numFmtId="0" fontId="16" fillId="0" borderId="29" xfId="0" applyFont="1" applyBorder="1"/>
    <xf numFmtId="0" fontId="0" fillId="0" borderId="26" xfId="0" applyBorder="1"/>
    <xf numFmtId="2" fontId="0" fillId="0" borderId="29" xfId="0" applyNumberFormat="1" applyBorder="1"/>
    <xf numFmtId="2" fontId="0" fillId="0" borderId="27" xfId="0" applyNumberFormat="1" applyBorder="1"/>
    <xf numFmtId="2" fontId="0" fillId="0" borderId="26" xfId="0" applyNumberFormat="1" applyBorder="1"/>
    <xf numFmtId="1" fontId="0" fillId="0" borderId="22" xfId="0" applyNumberFormat="1" applyBorder="1"/>
    <xf numFmtId="1" fontId="0" fillId="0" borderId="29" xfId="0" applyNumberFormat="1" applyBorder="1"/>
    <xf numFmtId="0" fontId="16" fillId="0" borderId="28" xfId="0" applyFont="1" applyBorder="1"/>
    <xf numFmtId="1" fontId="0" fillId="0" borderId="30" xfId="0" applyNumberFormat="1" applyBorder="1"/>
    <xf numFmtId="1" fontId="0" fillId="0" borderId="28" xfId="0" applyNumberFormat="1" applyBorder="1"/>
    <xf numFmtId="0" fontId="16" fillId="0" borderId="31" xfId="0" applyFont="1" applyBorder="1"/>
    <xf numFmtId="0" fontId="16" fillId="3" borderId="0" xfId="0" applyFont="1" applyFill="1"/>
    <xf numFmtId="0" fontId="0" fillId="4" borderId="0" xfId="0" applyFill="1"/>
    <xf numFmtId="0" fontId="2" fillId="4" borderId="0" xfId="324" applyFill="1"/>
    <xf numFmtId="0" fontId="16" fillId="4" borderId="0" xfId="0" applyFont="1" applyFill="1"/>
    <xf numFmtId="0" fontId="20" fillId="0" borderId="3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right" vertical="center"/>
    </xf>
    <xf numFmtId="0" fontId="19" fillId="0" borderId="0" xfId="0" applyFont="1" applyAlignment="1">
      <alignment horizontal="justify" vertical="center"/>
    </xf>
    <xf numFmtId="0" fontId="17" fillId="0" borderId="32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 wrapText="1"/>
    </xf>
    <xf numFmtId="0" fontId="22" fillId="0" borderId="19" xfId="0" applyFont="1" applyBorder="1" applyAlignment="1">
      <alignment horizontal="left" vertical="center"/>
    </xf>
    <xf numFmtId="0" fontId="22" fillId="0" borderId="4" xfId="0" applyFont="1" applyBorder="1" applyAlignment="1">
      <alignment horizontal="right" vertical="center"/>
    </xf>
    <xf numFmtId="0" fontId="22" fillId="0" borderId="4" xfId="0" applyFont="1" applyBorder="1" applyAlignment="1">
      <alignment horizontal="right" vertical="center" wrapText="1"/>
    </xf>
    <xf numFmtId="0" fontId="21" fillId="0" borderId="0" xfId="0" applyFont="1" applyAlignment="1">
      <alignment horizontal="justify" vertical="center"/>
    </xf>
    <xf numFmtId="0" fontId="23" fillId="0" borderId="9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 indent="1"/>
    </xf>
    <xf numFmtId="0" fontId="23" fillId="0" borderId="34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 indent="1"/>
    </xf>
    <xf numFmtId="0" fontId="23" fillId="0" borderId="0" xfId="0" applyFont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3" fillId="0" borderId="4" xfId="0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3" xfId="0" applyFont="1" applyBorder="1" applyAlignment="1">
      <alignment horizontal="right" vertical="center"/>
    </xf>
    <xf numFmtId="0" fontId="24" fillId="0" borderId="18" xfId="0" applyFont="1" applyBorder="1" applyAlignment="1">
      <alignment horizontal="justify" vertical="center"/>
    </xf>
    <xf numFmtId="0" fontId="24" fillId="0" borderId="34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169" fontId="17" fillId="0" borderId="4" xfId="211" applyNumberFormat="1" applyFont="1" applyBorder="1" applyAlignment="1">
      <alignment horizontal="right" vertical="center"/>
    </xf>
    <xf numFmtId="0" fontId="25" fillId="0" borderId="0" xfId="0" applyFont="1"/>
    <xf numFmtId="0" fontId="26" fillId="0" borderId="0" xfId="0" applyFont="1"/>
    <xf numFmtId="0" fontId="25" fillId="0" borderId="21" xfId="0" applyFont="1" applyBorder="1"/>
    <xf numFmtId="0" fontId="25" fillId="0" borderId="26" xfId="0" applyFont="1" applyBorder="1"/>
    <xf numFmtId="0" fontId="26" fillId="0" borderId="26" xfId="0" applyFont="1" applyBorder="1"/>
    <xf numFmtId="0" fontId="24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23" fillId="0" borderId="36" xfId="0" applyFont="1" applyBorder="1" applyAlignment="1">
      <alignment horizontal="left" vertical="center" indent="1"/>
    </xf>
    <xf numFmtId="0" fontId="23" fillId="0" borderId="26" xfId="0" applyFont="1" applyBorder="1" applyAlignment="1">
      <alignment horizontal="right" vertical="center"/>
    </xf>
    <xf numFmtId="0" fontId="23" fillId="0" borderId="37" xfId="0" applyFont="1" applyBorder="1" applyAlignment="1">
      <alignment horizontal="right" vertical="center"/>
    </xf>
    <xf numFmtId="0" fontId="24" fillId="0" borderId="18" xfId="0" applyFont="1" applyBorder="1" applyAlignment="1">
      <alignment horizontal="left" vertical="center"/>
    </xf>
    <xf numFmtId="0" fontId="24" fillId="0" borderId="1" xfId="0" applyFont="1" applyBorder="1" applyAlignment="1">
      <alignment horizontal="right" vertical="center"/>
    </xf>
    <xf numFmtId="0" fontId="24" fillId="0" borderId="8" xfId="0" applyFont="1" applyBorder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3" fillId="0" borderId="7" xfId="0" applyFont="1" applyBorder="1" applyAlignment="1">
      <alignment horizontal="right" vertical="center"/>
    </xf>
    <xf numFmtId="0" fontId="23" fillId="0" borderId="38" xfId="0" applyFont="1" applyBorder="1" applyAlignment="1">
      <alignment horizontal="right" vertical="center"/>
    </xf>
    <xf numFmtId="0" fontId="23" fillId="0" borderId="6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0" fontId="16" fillId="5" borderId="0" xfId="0" applyFont="1" applyFill="1"/>
    <xf numFmtId="0" fontId="2" fillId="5" borderId="0" xfId="324" applyFill="1"/>
    <xf numFmtId="0" fontId="16" fillId="6" borderId="0" xfId="0" applyFont="1" applyFill="1"/>
    <xf numFmtId="0" fontId="2" fillId="6" borderId="0" xfId="324" applyFill="1"/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0" xfId="0" applyFont="1"/>
    <xf numFmtId="0" fontId="24" fillId="0" borderId="35" xfId="0" applyFont="1" applyBorder="1" applyAlignment="1">
      <alignment horizontal="justify" vertical="center"/>
    </xf>
    <xf numFmtId="0" fontId="24" fillId="0" borderId="11" xfId="0" applyFont="1" applyBorder="1" applyAlignment="1">
      <alignment horizontal="justify" vertical="center"/>
    </xf>
    <xf numFmtId="0" fontId="24" fillId="0" borderId="33" xfId="0" applyFont="1" applyBorder="1" applyAlignment="1">
      <alignment horizontal="justify" vertical="center"/>
    </xf>
    <xf numFmtId="0" fontId="27" fillId="3" borderId="5" xfId="0" applyFont="1" applyFill="1" applyBorder="1" applyAlignment="1">
      <alignment horizontal="left"/>
    </xf>
    <xf numFmtId="0" fontId="24" fillId="0" borderId="2" xfId="0" applyFont="1" applyBorder="1" applyAlignment="1">
      <alignment horizontal="justify" vertical="center"/>
    </xf>
    <xf numFmtId="0" fontId="16" fillId="0" borderId="2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" fontId="13" fillId="0" borderId="18" xfId="0" applyNumberFormat="1" applyFont="1" applyBorder="1" applyAlignment="1">
      <alignment horizontal="center" vertical="center" wrapText="1"/>
    </xf>
    <xf numFmtId="2" fontId="13" fillId="0" borderId="19" xfId="0" applyNumberFormat="1" applyFont="1" applyBorder="1" applyAlignment="1">
      <alignment horizontal="center" vertical="center" wrapText="1"/>
    </xf>
    <xf numFmtId="0" fontId="3" fillId="0" borderId="13" xfId="2" applyFont="1" applyBorder="1"/>
    <xf numFmtId="0" fontId="3" fillId="0" borderId="14" xfId="2" applyFont="1" applyBorder="1"/>
    <xf numFmtId="2" fontId="3" fillId="0" borderId="14" xfId="2" applyNumberFormat="1" applyFont="1" applyBorder="1" applyAlignment="1">
      <alignment horizontal="center"/>
    </xf>
    <xf numFmtId="0" fontId="3" fillId="0" borderId="10" xfId="2" applyFont="1" applyBorder="1"/>
  </cellXfs>
  <cellStyles count="325">
    <cellStyle name="Comma" xfId="211" builtinId="3"/>
    <cellStyle name="Comma 2" xfId="4" xr:uid="{00000000-0005-0000-0000-000001000000}"/>
    <cellStyle name="Comma 2 10" xfId="150" xr:uid="{00000000-0005-0000-0000-000002000000}"/>
    <cellStyle name="Comma 2 10 2" xfId="268" xr:uid="{00000000-0005-0000-0000-000003000000}"/>
    <cellStyle name="Comma 2 11" xfId="212" xr:uid="{00000000-0005-0000-0000-000004000000}"/>
    <cellStyle name="Comma 2 2" xfId="25" xr:uid="{00000000-0005-0000-0000-000005000000}"/>
    <cellStyle name="Comma 2 2 2" xfId="44" xr:uid="{00000000-0005-0000-0000-000006000000}"/>
    <cellStyle name="Comma 2 2 2 2" xfId="121" xr:uid="{00000000-0005-0000-0000-000007000000}"/>
    <cellStyle name="Comma 2 2 2 2 2" xfId="196" xr:uid="{00000000-0005-0000-0000-000008000000}"/>
    <cellStyle name="Comma 2 2 2 2 2 2" xfId="309" xr:uid="{00000000-0005-0000-0000-000009000000}"/>
    <cellStyle name="Comma 2 2 2 2 3" xfId="253" xr:uid="{00000000-0005-0000-0000-00000A000000}"/>
    <cellStyle name="Comma 2 2 2 3" xfId="166" xr:uid="{00000000-0005-0000-0000-00000B000000}"/>
    <cellStyle name="Comma 2 2 2 3 2" xfId="281" xr:uid="{00000000-0005-0000-0000-00000C000000}"/>
    <cellStyle name="Comma 2 2 2 4" xfId="225" xr:uid="{00000000-0005-0000-0000-00000D000000}"/>
    <cellStyle name="Comma 2 2 3" xfId="106" xr:uid="{00000000-0005-0000-0000-00000E000000}"/>
    <cellStyle name="Comma 2 2 3 2" xfId="187" xr:uid="{00000000-0005-0000-0000-00000F000000}"/>
    <cellStyle name="Comma 2 2 3 2 2" xfId="301" xr:uid="{00000000-0005-0000-0000-000010000000}"/>
    <cellStyle name="Comma 2 2 3 3" xfId="245" xr:uid="{00000000-0005-0000-0000-000011000000}"/>
    <cellStyle name="Comma 2 2 4" xfId="156" xr:uid="{00000000-0005-0000-0000-000012000000}"/>
    <cellStyle name="Comma 2 2 4 2" xfId="273" xr:uid="{00000000-0005-0000-0000-000013000000}"/>
    <cellStyle name="Comma 2 2 5" xfId="217" xr:uid="{00000000-0005-0000-0000-000014000000}"/>
    <cellStyle name="Comma 2 3" xfId="39" xr:uid="{00000000-0005-0000-0000-000015000000}"/>
    <cellStyle name="Comma 2 3 2" xfId="118" xr:uid="{00000000-0005-0000-0000-000016000000}"/>
    <cellStyle name="Comma 2 3 2 2" xfId="195" xr:uid="{00000000-0005-0000-0000-000017000000}"/>
    <cellStyle name="Comma 2 3 2 2 2" xfId="308" xr:uid="{00000000-0005-0000-0000-000018000000}"/>
    <cellStyle name="Comma 2 3 2 3" xfId="252" xr:uid="{00000000-0005-0000-0000-000019000000}"/>
    <cellStyle name="Comma 2 3 3" xfId="165" xr:uid="{00000000-0005-0000-0000-00001A000000}"/>
    <cellStyle name="Comma 2 3 3 2" xfId="280" xr:uid="{00000000-0005-0000-0000-00001B000000}"/>
    <cellStyle name="Comma 2 3 4" xfId="224" xr:uid="{00000000-0005-0000-0000-00001C000000}"/>
    <cellStyle name="Comma 2 4" xfId="35" xr:uid="{00000000-0005-0000-0000-00001D000000}"/>
    <cellStyle name="Comma 2 4 2" xfId="113" xr:uid="{00000000-0005-0000-0000-00001E000000}"/>
    <cellStyle name="Comma 2 4 2 2" xfId="192" xr:uid="{00000000-0005-0000-0000-00001F000000}"/>
    <cellStyle name="Comma 2 4 2 2 2" xfId="305" xr:uid="{00000000-0005-0000-0000-000020000000}"/>
    <cellStyle name="Comma 2 4 2 3" xfId="249" xr:uid="{00000000-0005-0000-0000-000021000000}"/>
    <cellStyle name="Comma 2 4 3" xfId="162" xr:uid="{00000000-0005-0000-0000-000022000000}"/>
    <cellStyle name="Comma 2 4 3 2" xfId="277" xr:uid="{00000000-0005-0000-0000-000023000000}"/>
    <cellStyle name="Comma 2 4 4" xfId="221" xr:uid="{00000000-0005-0000-0000-000024000000}"/>
    <cellStyle name="Comma 2 5" xfId="51" xr:uid="{00000000-0005-0000-0000-000025000000}"/>
    <cellStyle name="Comma 2 5 2" xfId="125" xr:uid="{00000000-0005-0000-0000-000026000000}"/>
    <cellStyle name="Comma 2 5 2 2" xfId="200" xr:uid="{00000000-0005-0000-0000-000027000000}"/>
    <cellStyle name="Comma 2 5 2 2 2" xfId="313" xr:uid="{00000000-0005-0000-0000-000028000000}"/>
    <cellStyle name="Comma 2 5 2 3" xfId="257" xr:uid="{00000000-0005-0000-0000-000029000000}"/>
    <cellStyle name="Comma 2 5 3" xfId="170" xr:uid="{00000000-0005-0000-0000-00002A000000}"/>
    <cellStyle name="Comma 2 5 3 2" xfId="285" xr:uid="{00000000-0005-0000-0000-00002B000000}"/>
    <cellStyle name="Comma 2 5 4" xfId="229" xr:uid="{00000000-0005-0000-0000-00002C000000}"/>
    <cellStyle name="Comma 2 6" xfId="92" xr:uid="{00000000-0005-0000-0000-00002D000000}"/>
    <cellStyle name="Comma 2 6 2" xfId="146" xr:uid="{00000000-0005-0000-0000-00002E000000}"/>
    <cellStyle name="Comma 2 6 2 2" xfId="208" xr:uid="{00000000-0005-0000-0000-00002F000000}"/>
    <cellStyle name="Comma 2 6 2 2 2" xfId="321" xr:uid="{00000000-0005-0000-0000-000030000000}"/>
    <cellStyle name="Comma 2 6 2 3" xfId="265" xr:uid="{00000000-0005-0000-0000-000031000000}"/>
    <cellStyle name="Comma 2 6 3" xfId="178" xr:uid="{00000000-0005-0000-0000-000032000000}"/>
    <cellStyle name="Comma 2 6 3 2" xfId="293" xr:uid="{00000000-0005-0000-0000-000033000000}"/>
    <cellStyle name="Comma 2 6 4" xfId="237" xr:uid="{00000000-0005-0000-0000-000034000000}"/>
    <cellStyle name="Comma 2 7" xfId="99" xr:uid="{00000000-0005-0000-0000-000035000000}"/>
    <cellStyle name="Comma 2 7 2" xfId="185" xr:uid="{00000000-0005-0000-0000-000036000000}"/>
    <cellStyle name="Comma 2 7 2 2" xfId="299" xr:uid="{00000000-0005-0000-0000-000037000000}"/>
    <cellStyle name="Comma 2 7 3" xfId="243" xr:uid="{00000000-0005-0000-0000-000038000000}"/>
    <cellStyle name="Comma 2 8" xfId="102" xr:uid="{00000000-0005-0000-0000-000039000000}"/>
    <cellStyle name="Comma 2 8 2" xfId="186" xr:uid="{00000000-0005-0000-0000-00003A000000}"/>
    <cellStyle name="Comma 2 8 2 2" xfId="300" xr:uid="{00000000-0005-0000-0000-00003B000000}"/>
    <cellStyle name="Comma 2 8 3" xfId="244" xr:uid="{00000000-0005-0000-0000-00003C000000}"/>
    <cellStyle name="Comma 2 9" xfId="21" xr:uid="{00000000-0005-0000-0000-00003D000000}"/>
    <cellStyle name="Comma 2 9 2" xfId="155" xr:uid="{00000000-0005-0000-0000-00003E000000}"/>
    <cellStyle name="Comma 2 9 2 2" xfId="272" xr:uid="{00000000-0005-0000-0000-00003F000000}"/>
    <cellStyle name="Comma 2 9 3" xfId="216" xr:uid="{00000000-0005-0000-0000-000040000000}"/>
    <cellStyle name="Comma 3" xfId="12" xr:uid="{00000000-0005-0000-0000-000041000000}"/>
    <cellStyle name="Comma 3 2" xfId="48" xr:uid="{00000000-0005-0000-0000-000042000000}"/>
    <cellStyle name="Comma 3 2 2" xfId="123" xr:uid="{00000000-0005-0000-0000-000043000000}"/>
    <cellStyle name="Comma 3 2 2 2" xfId="198" xr:uid="{00000000-0005-0000-0000-000044000000}"/>
    <cellStyle name="Comma 3 2 2 2 2" xfId="311" xr:uid="{00000000-0005-0000-0000-000045000000}"/>
    <cellStyle name="Comma 3 2 2 3" xfId="255" xr:uid="{00000000-0005-0000-0000-000046000000}"/>
    <cellStyle name="Comma 3 2 3" xfId="168" xr:uid="{00000000-0005-0000-0000-000047000000}"/>
    <cellStyle name="Comma 3 2 3 2" xfId="283" xr:uid="{00000000-0005-0000-0000-000048000000}"/>
    <cellStyle name="Comma 3 2 4" xfId="227" xr:uid="{00000000-0005-0000-0000-000049000000}"/>
    <cellStyle name="Comma 3 3" xfId="37" xr:uid="{00000000-0005-0000-0000-00004A000000}"/>
    <cellStyle name="Comma 3 3 2" xfId="115" xr:uid="{00000000-0005-0000-0000-00004B000000}"/>
    <cellStyle name="Comma 3 3 2 2" xfId="194" xr:uid="{00000000-0005-0000-0000-00004C000000}"/>
    <cellStyle name="Comma 3 3 2 2 2" xfId="307" xr:uid="{00000000-0005-0000-0000-00004D000000}"/>
    <cellStyle name="Comma 3 3 2 3" xfId="251" xr:uid="{00000000-0005-0000-0000-00004E000000}"/>
    <cellStyle name="Comma 3 3 3" xfId="164" xr:uid="{00000000-0005-0000-0000-00004F000000}"/>
    <cellStyle name="Comma 3 3 3 2" xfId="279" xr:uid="{00000000-0005-0000-0000-000050000000}"/>
    <cellStyle name="Comma 3 3 4" xfId="223" xr:uid="{00000000-0005-0000-0000-000051000000}"/>
    <cellStyle name="Comma 3 4" xfId="53" xr:uid="{00000000-0005-0000-0000-000052000000}"/>
    <cellStyle name="Comma 3 4 2" xfId="127" xr:uid="{00000000-0005-0000-0000-000053000000}"/>
    <cellStyle name="Comma 3 4 2 2" xfId="202" xr:uid="{00000000-0005-0000-0000-000054000000}"/>
    <cellStyle name="Comma 3 4 2 2 2" xfId="315" xr:uid="{00000000-0005-0000-0000-000055000000}"/>
    <cellStyle name="Comma 3 4 2 3" xfId="259" xr:uid="{00000000-0005-0000-0000-000056000000}"/>
    <cellStyle name="Comma 3 4 3" xfId="172" xr:uid="{00000000-0005-0000-0000-000057000000}"/>
    <cellStyle name="Comma 3 4 3 2" xfId="287" xr:uid="{00000000-0005-0000-0000-000058000000}"/>
    <cellStyle name="Comma 3 4 4" xfId="231" xr:uid="{00000000-0005-0000-0000-000059000000}"/>
    <cellStyle name="Comma 3 5" xfId="58" xr:uid="{00000000-0005-0000-0000-00005A000000}"/>
    <cellStyle name="Comma 3 6" xfId="110" xr:uid="{00000000-0005-0000-0000-00005B000000}"/>
    <cellStyle name="Comma 3 6 2" xfId="189" xr:uid="{00000000-0005-0000-0000-00005C000000}"/>
    <cellStyle name="Comma 3 6 2 2" xfId="303" xr:uid="{00000000-0005-0000-0000-00005D000000}"/>
    <cellStyle name="Comma 3 6 3" xfId="247" xr:uid="{00000000-0005-0000-0000-00005E000000}"/>
    <cellStyle name="Comma 3 7" xfId="30" xr:uid="{00000000-0005-0000-0000-00005F000000}"/>
    <cellStyle name="Comma 3 7 2" xfId="158" xr:uid="{00000000-0005-0000-0000-000060000000}"/>
    <cellStyle name="Comma 3 7 2 2" xfId="275" xr:uid="{00000000-0005-0000-0000-000061000000}"/>
    <cellStyle name="Comma 3 7 3" xfId="219" xr:uid="{00000000-0005-0000-0000-000062000000}"/>
    <cellStyle name="Comma 3 8" xfId="153" xr:uid="{00000000-0005-0000-0000-000063000000}"/>
    <cellStyle name="Comma 3 8 2" xfId="270" xr:uid="{00000000-0005-0000-0000-000064000000}"/>
    <cellStyle name="Comma 3 9" xfId="214" xr:uid="{00000000-0005-0000-0000-000065000000}"/>
    <cellStyle name="Dezimal [0] 2" xfId="83" xr:uid="{00000000-0005-0000-0000-000066000000}"/>
    <cellStyle name="Dezimal [0] 2 2" xfId="96" xr:uid="{00000000-0005-0000-0000-000067000000}"/>
    <cellStyle name="Dezimal [0] 2 2 2" xfId="182" xr:uid="{00000000-0005-0000-0000-000068000000}"/>
    <cellStyle name="Dezimal [0] 2 2 2 2" xfId="296" xr:uid="{00000000-0005-0000-0000-000069000000}"/>
    <cellStyle name="Dezimal [0] 2 2 3" xfId="240" xr:uid="{00000000-0005-0000-0000-00006A000000}"/>
    <cellStyle name="Dezimal [0] 2 3" xfId="141" xr:uid="{00000000-0005-0000-0000-00006B000000}"/>
    <cellStyle name="Dezimal [0] 2 3 2" xfId="205" xr:uid="{00000000-0005-0000-0000-00006C000000}"/>
    <cellStyle name="Dezimal [0] 2 3 2 2" xfId="318" xr:uid="{00000000-0005-0000-0000-00006D000000}"/>
    <cellStyle name="Dezimal [0] 2 3 3" xfId="262" xr:uid="{00000000-0005-0000-0000-00006E000000}"/>
    <cellStyle name="Dezimal [0] 2 4" xfId="175" xr:uid="{00000000-0005-0000-0000-00006F000000}"/>
    <cellStyle name="Dezimal [0] 2 4 2" xfId="290" xr:uid="{00000000-0005-0000-0000-000070000000}"/>
    <cellStyle name="Dezimal [0] 2 5" xfId="234" xr:uid="{00000000-0005-0000-0000-000071000000}"/>
    <cellStyle name="Dezimal [0] 3" xfId="87" xr:uid="{00000000-0005-0000-0000-000072000000}"/>
    <cellStyle name="Dezimal [0] 3 2" xfId="98" xr:uid="{00000000-0005-0000-0000-000073000000}"/>
    <cellStyle name="Dezimal [0] 3 2 2" xfId="184" xr:uid="{00000000-0005-0000-0000-000074000000}"/>
    <cellStyle name="Dezimal [0] 3 2 2 2" xfId="298" xr:uid="{00000000-0005-0000-0000-000075000000}"/>
    <cellStyle name="Dezimal [0] 3 2 3" xfId="242" xr:uid="{00000000-0005-0000-0000-000076000000}"/>
    <cellStyle name="Dezimal [0] 3 3" xfId="144" xr:uid="{00000000-0005-0000-0000-000077000000}"/>
    <cellStyle name="Dezimal [0] 3 3 2" xfId="207" xr:uid="{00000000-0005-0000-0000-000078000000}"/>
    <cellStyle name="Dezimal [0] 3 3 2 2" xfId="320" xr:uid="{00000000-0005-0000-0000-000079000000}"/>
    <cellStyle name="Dezimal [0] 3 3 3" xfId="264" xr:uid="{00000000-0005-0000-0000-00007A000000}"/>
    <cellStyle name="Dezimal [0] 3 4" xfId="177" xr:uid="{00000000-0005-0000-0000-00007B000000}"/>
    <cellStyle name="Dezimal [0] 3 4 2" xfId="292" xr:uid="{00000000-0005-0000-0000-00007C000000}"/>
    <cellStyle name="Dezimal [0] 3 5" xfId="236" xr:uid="{00000000-0005-0000-0000-00007D000000}"/>
    <cellStyle name="Dezimal 2" xfId="75" xr:uid="{00000000-0005-0000-0000-00007E000000}"/>
    <cellStyle name="Dezimal 3" xfId="81" xr:uid="{00000000-0005-0000-0000-00007F000000}"/>
    <cellStyle name="Dezimal 3 2" xfId="140" xr:uid="{00000000-0005-0000-0000-000080000000}"/>
    <cellStyle name="Dezimal 4" xfId="84" xr:uid="{00000000-0005-0000-0000-000081000000}"/>
    <cellStyle name="Dezimal 4 2" xfId="97" xr:uid="{00000000-0005-0000-0000-000082000000}"/>
    <cellStyle name="Dezimal 4 2 2" xfId="183" xr:uid="{00000000-0005-0000-0000-000083000000}"/>
    <cellStyle name="Dezimal 4 2 2 2" xfId="297" xr:uid="{00000000-0005-0000-0000-000084000000}"/>
    <cellStyle name="Dezimal 4 2 3" xfId="241" xr:uid="{00000000-0005-0000-0000-000085000000}"/>
    <cellStyle name="Dezimal 4 3" xfId="142" xr:uid="{00000000-0005-0000-0000-000086000000}"/>
    <cellStyle name="Dezimal 4 3 2" xfId="206" xr:uid="{00000000-0005-0000-0000-000087000000}"/>
    <cellStyle name="Dezimal 4 3 2 2" xfId="319" xr:uid="{00000000-0005-0000-0000-000088000000}"/>
    <cellStyle name="Dezimal 4 3 3" xfId="263" xr:uid="{00000000-0005-0000-0000-000089000000}"/>
    <cellStyle name="Dezimal 4 4" xfId="176" xr:uid="{00000000-0005-0000-0000-00008A000000}"/>
    <cellStyle name="Dezimal 4 4 2" xfId="291" xr:uid="{00000000-0005-0000-0000-00008B000000}"/>
    <cellStyle name="Dezimal 4 5" xfId="235" xr:uid="{00000000-0005-0000-0000-00008C000000}"/>
    <cellStyle name="Dezimal 5" xfId="89" xr:uid="{00000000-0005-0000-0000-00008D000000}"/>
    <cellStyle name="Dezimal 5 2" xfId="145" xr:uid="{00000000-0005-0000-0000-00008E000000}"/>
    <cellStyle name="Hyperlink" xfId="324" builtinId="8"/>
    <cellStyle name="Hyperlink 2" xfId="13" xr:uid="{00000000-0005-0000-0000-000090000000}"/>
    <cellStyle name="Hyperlink 3" xfId="43" xr:uid="{00000000-0005-0000-0000-000091000000}"/>
    <cellStyle name="Komma 2" xfId="9" xr:uid="{00000000-0005-0000-0000-000092000000}"/>
    <cellStyle name="Komma 2 10" xfId="151" xr:uid="{00000000-0005-0000-0000-000093000000}"/>
    <cellStyle name="Komma 2 10 2" xfId="269" xr:uid="{00000000-0005-0000-0000-000094000000}"/>
    <cellStyle name="Komma 2 11" xfId="213" xr:uid="{00000000-0005-0000-0000-000095000000}"/>
    <cellStyle name="Komma 2 2" xfId="18" xr:uid="{00000000-0005-0000-0000-000096000000}"/>
    <cellStyle name="Komma 2 2 2" xfId="122" xr:uid="{00000000-0005-0000-0000-000097000000}"/>
    <cellStyle name="Komma 2 2 2 2" xfId="197" xr:uid="{00000000-0005-0000-0000-000098000000}"/>
    <cellStyle name="Komma 2 2 2 2 2" xfId="310" xr:uid="{00000000-0005-0000-0000-000099000000}"/>
    <cellStyle name="Komma 2 2 2 3" xfId="254" xr:uid="{00000000-0005-0000-0000-00009A000000}"/>
    <cellStyle name="Komma 2 2 3" xfId="47" xr:uid="{00000000-0005-0000-0000-00009B000000}"/>
    <cellStyle name="Komma 2 2 3 2" xfId="167" xr:uid="{00000000-0005-0000-0000-00009C000000}"/>
    <cellStyle name="Komma 2 2 3 2 2" xfId="282" xr:uid="{00000000-0005-0000-0000-00009D000000}"/>
    <cellStyle name="Komma 2 2 3 3" xfId="226" xr:uid="{00000000-0005-0000-0000-00009E000000}"/>
    <cellStyle name="Komma 2 2 4" xfId="154" xr:uid="{00000000-0005-0000-0000-00009F000000}"/>
    <cellStyle name="Komma 2 2 4 2" xfId="271" xr:uid="{00000000-0005-0000-0000-0000A0000000}"/>
    <cellStyle name="Komma 2 2 5" xfId="215" xr:uid="{00000000-0005-0000-0000-0000A1000000}"/>
    <cellStyle name="Komma 2 3" xfId="36" xr:uid="{00000000-0005-0000-0000-0000A2000000}"/>
    <cellStyle name="Komma 2 3 2" xfId="114" xr:uid="{00000000-0005-0000-0000-0000A3000000}"/>
    <cellStyle name="Komma 2 3 2 2" xfId="193" xr:uid="{00000000-0005-0000-0000-0000A4000000}"/>
    <cellStyle name="Komma 2 3 2 2 2" xfId="306" xr:uid="{00000000-0005-0000-0000-0000A5000000}"/>
    <cellStyle name="Komma 2 3 2 3" xfId="250" xr:uid="{00000000-0005-0000-0000-0000A6000000}"/>
    <cellStyle name="Komma 2 3 3" xfId="163" xr:uid="{00000000-0005-0000-0000-0000A7000000}"/>
    <cellStyle name="Komma 2 3 3 2" xfId="278" xr:uid="{00000000-0005-0000-0000-0000A8000000}"/>
    <cellStyle name="Komma 2 3 4" xfId="222" xr:uid="{00000000-0005-0000-0000-0000A9000000}"/>
    <cellStyle name="Komma 2 4" xfId="52" xr:uid="{00000000-0005-0000-0000-0000AA000000}"/>
    <cellStyle name="Komma 2 4 2" xfId="126" xr:uid="{00000000-0005-0000-0000-0000AB000000}"/>
    <cellStyle name="Komma 2 4 2 2" xfId="201" xr:uid="{00000000-0005-0000-0000-0000AC000000}"/>
    <cellStyle name="Komma 2 4 2 2 2" xfId="314" xr:uid="{00000000-0005-0000-0000-0000AD000000}"/>
    <cellStyle name="Komma 2 4 2 3" xfId="258" xr:uid="{00000000-0005-0000-0000-0000AE000000}"/>
    <cellStyle name="Komma 2 4 3" xfId="171" xr:uid="{00000000-0005-0000-0000-0000AF000000}"/>
    <cellStyle name="Komma 2 4 3 2" xfId="286" xr:uid="{00000000-0005-0000-0000-0000B0000000}"/>
    <cellStyle name="Komma 2 4 4" xfId="230" xr:uid="{00000000-0005-0000-0000-0000B1000000}"/>
    <cellStyle name="Komma 2 5" xfId="55" xr:uid="{00000000-0005-0000-0000-0000B2000000}"/>
    <cellStyle name="Komma 2 5 2" xfId="129" xr:uid="{00000000-0005-0000-0000-0000B3000000}"/>
    <cellStyle name="Komma 2 5 2 2" xfId="204" xr:uid="{00000000-0005-0000-0000-0000B4000000}"/>
    <cellStyle name="Komma 2 5 2 2 2" xfId="317" xr:uid="{00000000-0005-0000-0000-0000B5000000}"/>
    <cellStyle name="Komma 2 5 2 3" xfId="261" xr:uid="{00000000-0005-0000-0000-0000B6000000}"/>
    <cellStyle name="Komma 2 5 3" xfId="174" xr:uid="{00000000-0005-0000-0000-0000B7000000}"/>
    <cellStyle name="Komma 2 5 3 2" xfId="289" xr:uid="{00000000-0005-0000-0000-0000B8000000}"/>
    <cellStyle name="Komma 2 5 4" xfId="233" xr:uid="{00000000-0005-0000-0000-0000B9000000}"/>
    <cellStyle name="Komma 2 6" xfId="95" xr:uid="{00000000-0005-0000-0000-0000BA000000}"/>
    <cellStyle name="Komma 2 6 2" xfId="181" xr:uid="{00000000-0005-0000-0000-0000BB000000}"/>
    <cellStyle name="Komma 2 6 2 2" xfId="295" xr:uid="{00000000-0005-0000-0000-0000BC000000}"/>
    <cellStyle name="Komma 2 6 3" xfId="239" xr:uid="{00000000-0005-0000-0000-0000BD000000}"/>
    <cellStyle name="Komma 2 7" xfId="109" xr:uid="{00000000-0005-0000-0000-0000BE000000}"/>
    <cellStyle name="Komma 2 7 2" xfId="188" xr:uid="{00000000-0005-0000-0000-0000BF000000}"/>
    <cellStyle name="Komma 2 7 2 2" xfId="302" xr:uid="{00000000-0005-0000-0000-0000C0000000}"/>
    <cellStyle name="Komma 2 7 3" xfId="246" xr:uid="{00000000-0005-0000-0000-0000C1000000}"/>
    <cellStyle name="Komma 2 8" xfId="148" xr:uid="{00000000-0005-0000-0000-0000C2000000}"/>
    <cellStyle name="Komma 2 8 2" xfId="210" xr:uid="{00000000-0005-0000-0000-0000C3000000}"/>
    <cellStyle name="Komma 2 8 2 2" xfId="323" xr:uid="{00000000-0005-0000-0000-0000C4000000}"/>
    <cellStyle name="Komma 2 8 3" xfId="267" xr:uid="{00000000-0005-0000-0000-0000C5000000}"/>
    <cellStyle name="Komma 2 9" xfId="28" xr:uid="{00000000-0005-0000-0000-0000C6000000}"/>
    <cellStyle name="Komma 2 9 2" xfId="157" xr:uid="{00000000-0005-0000-0000-0000C7000000}"/>
    <cellStyle name="Komma 2 9 2 2" xfId="274" xr:uid="{00000000-0005-0000-0000-0000C8000000}"/>
    <cellStyle name="Komma 2 9 3" xfId="218" xr:uid="{00000000-0005-0000-0000-0000C9000000}"/>
    <cellStyle name="Komma 3" xfId="34" xr:uid="{00000000-0005-0000-0000-0000CA000000}"/>
    <cellStyle name="Komma 3 2" xfId="50" xr:uid="{00000000-0005-0000-0000-0000CB000000}"/>
    <cellStyle name="Komma 3 2 2" xfId="124" xr:uid="{00000000-0005-0000-0000-0000CC000000}"/>
    <cellStyle name="Komma 3 2 2 2" xfId="199" xr:uid="{00000000-0005-0000-0000-0000CD000000}"/>
    <cellStyle name="Komma 3 2 2 2 2" xfId="312" xr:uid="{00000000-0005-0000-0000-0000CE000000}"/>
    <cellStyle name="Komma 3 2 2 3" xfId="256" xr:uid="{00000000-0005-0000-0000-0000CF000000}"/>
    <cellStyle name="Komma 3 2 3" xfId="169" xr:uid="{00000000-0005-0000-0000-0000D0000000}"/>
    <cellStyle name="Komma 3 2 3 2" xfId="284" xr:uid="{00000000-0005-0000-0000-0000D1000000}"/>
    <cellStyle name="Komma 3 2 4" xfId="228" xr:uid="{00000000-0005-0000-0000-0000D2000000}"/>
    <cellStyle name="Komma 3 3" xfId="112" xr:uid="{00000000-0005-0000-0000-0000D3000000}"/>
    <cellStyle name="Komma 3 3 2" xfId="191" xr:uid="{00000000-0005-0000-0000-0000D4000000}"/>
    <cellStyle name="Komma 3 3 2 2" xfId="304" xr:uid="{00000000-0005-0000-0000-0000D5000000}"/>
    <cellStyle name="Komma 3 3 3" xfId="248" xr:uid="{00000000-0005-0000-0000-0000D6000000}"/>
    <cellStyle name="Komma 3 4" xfId="161" xr:uid="{00000000-0005-0000-0000-0000D7000000}"/>
    <cellStyle name="Komma 3 4 2" xfId="276" xr:uid="{00000000-0005-0000-0000-0000D8000000}"/>
    <cellStyle name="Komma 3 5" xfId="220" xr:uid="{00000000-0005-0000-0000-0000D9000000}"/>
    <cellStyle name="Komma 4" xfId="54" xr:uid="{00000000-0005-0000-0000-0000DA000000}"/>
    <cellStyle name="Komma 4 2" xfId="128" xr:uid="{00000000-0005-0000-0000-0000DB000000}"/>
    <cellStyle name="Komma 4 2 2" xfId="203" xr:uid="{00000000-0005-0000-0000-0000DC000000}"/>
    <cellStyle name="Komma 4 2 2 2" xfId="316" xr:uid="{00000000-0005-0000-0000-0000DD000000}"/>
    <cellStyle name="Komma 4 2 3" xfId="260" xr:uid="{00000000-0005-0000-0000-0000DE000000}"/>
    <cellStyle name="Komma 4 3" xfId="173" xr:uid="{00000000-0005-0000-0000-0000DF000000}"/>
    <cellStyle name="Komma 4 3 2" xfId="288" xr:uid="{00000000-0005-0000-0000-0000E0000000}"/>
    <cellStyle name="Komma 4 4" xfId="232" xr:uid="{00000000-0005-0000-0000-0000E1000000}"/>
    <cellStyle name="Komma 5" xfId="94" xr:uid="{00000000-0005-0000-0000-0000E2000000}"/>
    <cellStyle name="Komma 5 2" xfId="180" xr:uid="{00000000-0005-0000-0000-0000E3000000}"/>
    <cellStyle name="Komma 5 2 2" xfId="294" xr:uid="{00000000-0005-0000-0000-0000E4000000}"/>
    <cellStyle name="Komma 5 3" xfId="238" xr:uid="{00000000-0005-0000-0000-0000E5000000}"/>
    <cellStyle name="Komma 6" xfId="147" xr:uid="{00000000-0005-0000-0000-0000E6000000}"/>
    <cellStyle name="Komma 6 2" xfId="209" xr:uid="{00000000-0005-0000-0000-0000E7000000}"/>
    <cellStyle name="Komma 6 2 2" xfId="322" xr:uid="{00000000-0005-0000-0000-0000E8000000}"/>
    <cellStyle name="Komma 6 3" xfId="266" xr:uid="{00000000-0005-0000-0000-0000E9000000}"/>
    <cellStyle name="Normal" xfId="0" builtinId="0"/>
    <cellStyle name="Normal 2" xfId="3" xr:uid="{00000000-0005-0000-0000-0000EB000000}"/>
    <cellStyle name="Normal 2 2" xfId="38" xr:uid="{00000000-0005-0000-0000-0000EC000000}"/>
    <cellStyle name="Normal 2 2 2" xfId="85" xr:uid="{00000000-0005-0000-0000-0000ED000000}"/>
    <cellStyle name="Normal 2 2 3" xfId="117" xr:uid="{00000000-0005-0000-0000-0000EE000000}"/>
    <cellStyle name="Normal 2 3" xfId="57" xr:uid="{00000000-0005-0000-0000-0000EF000000}"/>
    <cellStyle name="Normal 2 4" xfId="101" xr:uid="{00000000-0005-0000-0000-0000F0000000}"/>
    <cellStyle name="Normal 2 5" xfId="20" xr:uid="{00000000-0005-0000-0000-0000F1000000}"/>
    <cellStyle name="Normal 3" xfId="11" xr:uid="{00000000-0005-0000-0000-0000F2000000}"/>
    <cellStyle name="Normal 3 2" xfId="17" xr:uid="{00000000-0005-0000-0000-0000F3000000}"/>
    <cellStyle name="Normal 3 2 2" xfId="120" xr:uid="{00000000-0005-0000-0000-0000F4000000}"/>
    <cellStyle name="Normal 3 2 3" xfId="41" xr:uid="{00000000-0005-0000-0000-0000F5000000}"/>
    <cellStyle name="Normal 3 3" xfId="104" xr:uid="{00000000-0005-0000-0000-0000F6000000}"/>
    <cellStyle name="Normal 3 4" xfId="23" xr:uid="{00000000-0005-0000-0000-0000F7000000}"/>
    <cellStyle name="Normal 4" xfId="19" xr:uid="{00000000-0005-0000-0000-0000F8000000}"/>
    <cellStyle name="Normal 4 2" xfId="116" xr:uid="{00000000-0005-0000-0000-0000F9000000}"/>
    <cellStyle name="Normal 5" xfId="59" xr:uid="{00000000-0005-0000-0000-0000FA000000}"/>
    <cellStyle name="Normal 5 2" xfId="93" xr:uid="{00000000-0005-0000-0000-0000FB000000}"/>
    <cellStyle name="Normal 5 2 2" xfId="179" xr:uid="{00000000-0005-0000-0000-0000FC000000}"/>
    <cellStyle name="Normal 5 3" xfId="131" xr:uid="{00000000-0005-0000-0000-0000FD000000}"/>
    <cellStyle name="Normal 6" xfId="100" xr:uid="{00000000-0005-0000-0000-0000FE000000}"/>
    <cellStyle name="Percent" xfId="1" builtinId="5"/>
    <cellStyle name="Percent 2" xfId="5" xr:uid="{00000000-0005-0000-0000-000000010000}"/>
    <cellStyle name="Percent 2 2" xfId="45" xr:uid="{00000000-0005-0000-0000-000001010000}"/>
    <cellStyle name="Percent 2 3" xfId="91" xr:uid="{00000000-0005-0000-0000-000002010000}"/>
    <cellStyle name="Percent 2 4" xfId="107" xr:uid="{00000000-0005-0000-0000-000003010000}"/>
    <cellStyle name="Percent 2 5" xfId="26" xr:uid="{00000000-0005-0000-0000-000004010000}"/>
    <cellStyle name="Percent 3" xfId="14" xr:uid="{00000000-0005-0000-0000-000005010000}"/>
    <cellStyle name="Percent 3 2" xfId="49" xr:uid="{00000000-0005-0000-0000-000006010000}"/>
    <cellStyle name="Percent 3 3" xfId="31" xr:uid="{00000000-0005-0000-0000-000007010000}"/>
    <cellStyle name="Percent 4" xfId="42" xr:uid="{00000000-0005-0000-0000-000008010000}"/>
    <cellStyle name="Prozent 2" xfId="8" xr:uid="{00000000-0005-0000-0000-000009010000}"/>
    <cellStyle name="Prozent 2 2" xfId="16" xr:uid="{00000000-0005-0000-0000-00000A010000}"/>
    <cellStyle name="Prozent 2 2 2" xfId="46" xr:uid="{00000000-0005-0000-0000-00000B010000}"/>
    <cellStyle name="Prozent 2 3" xfId="108" xr:uid="{00000000-0005-0000-0000-00000C010000}"/>
    <cellStyle name="Prozent 2 4" xfId="27" xr:uid="{00000000-0005-0000-0000-00000D010000}"/>
    <cellStyle name="Prozent 3" xfId="29" xr:uid="{00000000-0005-0000-0000-00000E010000}"/>
    <cellStyle name="Prozent 4" xfId="33" xr:uid="{00000000-0005-0000-0000-00000F010000}"/>
    <cellStyle name="Prozent 4 2" xfId="160" xr:uid="{00000000-0005-0000-0000-000010010000}"/>
    <cellStyle name="Prozent 5" xfId="10" xr:uid="{00000000-0005-0000-0000-000011010000}"/>
    <cellStyle name="Prozent 5 2" xfId="152" xr:uid="{00000000-0005-0000-0000-000012010000}"/>
    <cellStyle name="Standard 10" xfId="2" xr:uid="{00000000-0005-0000-0000-000013010000}"/>
    <cellStyle name="Standard 10 2" xfId="149" xr:uid="{00000000-0005-0000-0000-000014010000}"/>
    <cellStyle name="Standard 11" xfId="90" xr:uid="{00000000-0005-0000-0000-000015010000}"/>
    <cellStyle name="Standard 2" xfId="6" xr:uid="{00000000-0005-0000-0000-000016010000}"/>
    <cellStyle name="Standard 2 2" xfId="60" xr:uid="{00000000-0005-0000-0000-000017010000}"/>
    <cellStyle name="Standard 2 2 2" xfId="61" xr:uid="{00000000-0005-0000-0000-000018010000}"/>
    <cellStyle name="Standard 2 2 3" xfId="62" xr:uid="{00000000-0005-0000-0000-000019010000}"/>
    <cellStyle name="Standard 2 2 4" xfId="76" xr:uid="{00000000-0005-0000-0000-00001A010000}"/>
    <cellStyle name="Standard 2 3" xfId="63" xr:uid="{00000000-0005-0000-0000-00001B010000}"/>
    <cellStyle name="Standard 2 4" xfId="64" xr:uid="{00000000-0005-0000-0000-00001C010000}"/>
    <cellStyle name="Standard 2 5" xfId="65" xr:uid="{00000000-0005-0000-0000-00001D010000}"/>
    <cellStyle name="Standard 2 6" xfId="72" xr:uid="{00000000-0005-0000-0000-00001E010000}"/>
    <cellStyle name="Standard 3" xfId="7" xr:uid="{00000000-0005-0000-0000-00001F010000}"/>
    <cellStyle name="Standard 3 2" xfId="15" xr:uid="{00000000-0005-0000-0000-000020010000}"/>
    <cellStyle name="Standard 3 2 2" xfId="68" xr:uid="{00000000-0005-0000-0000-000021010000}"/>
    <cellStyle name="Standard 3 2 2 2" xfId="71" xr:uid="{00000000-0005-0000-0000-000022010000}"/>
    <cellStyle name="Standard 3 2 2 2 2" xfId="80" xr:uid="{00000000-0005-0000-0000-000023010000}"/>
    <cellStyle name="Standard 3 2 2 2 2 2" xfId="139" xr:uid="{00000000-0005-0000-0000-000024010000}"/>
    <cellStyle name="Standard 3 2 2 2 3" xfId="135" xr:uid="{00000000-0005-0000-0000-000025010000}"/>
    <cellStyle name="Standard 3 2 2 3" xfId="78" xr:uid="{00000000-0005-0000-0000-000026010000}"/>
    <cellStyle name="Standard 3 2 2 3 2" xfId="137" xr:uid="{00000000-0005-0000-0000-000027010000}"/>
    <cellStyle name="Standard 3 2 2 4" xfId="133" xr:uid="{00000000-0005-0000-0000-000028010000}"/>
    <cellStyle name="Standard 3 2 3" xfId="69" xr:uid="{00000000-0005-0000-0000-000029010000}"/>
    <cellStyle name="Standard 3 2 3 2" xfId="79" xr:uid="{00000000-0005-0000-0000-00002A010000}"/>
    <cellStyle name="Standard 3 2 3 2 2" xfId="138" xr:uid="{00000000-0005-0000-0000-00002B010000}"/>
    <cellStyle name="Standard 3 2 3 3" xfId="134" xr:uid="{00000000-0005-0000-0000-00002C010000}"/>
    <cellStyle name="Standard 3 2 4" xfId="67" xr:uid="{00000000-0005-0000-0000-00002D010000}"/>
    <cellStyle name="Standard 3 2 5" xfId="119" xr:uid="{00000000-0005-0000-0000-00002E010000}"/>
    <cellStyle name="Standard 3 2 6" xfId="40" xr:uid="{00000000-0005-0000-0000-00002F010000}"/>
    <cellStyle name="Standard 3 3" xfId="70" xr:uid="{00000000-0005-0000-0000-000030010000}"/>
    <cellStyle name="Standard 3 4" xfId="77" xr:uid="{00000000-0005-0000-0000-000031010000}"/>
    <cellStyle name="Standard 3 4 2" xfId="136" xr:uid="{00000000-0005-0000-0000-000032010000}"/>
    <cellStyle name="Standard 3 5" xfId="66" xr:uid="{00000000-0005-0000-0000-000033010000}"/>
    <cellStyle name="Standard 3 5 2" xfId="132" xr:uid="{00000000-0005-0000-0000-000034010000}"/>
    <cellStyle name="Standard 3 6" xfId="103" xr:uid="{00000000-0005-0000-0000-000035010000}"/>
    <cellStyle name="Standard 3 7" xfId="22" xr:uid="{00000000-0005-0000-0000-000036010000}"/>
    <cellStyle name="Standard 4" xfId="24" xr:uid="{00000000-0005-0000-0000-000037010000}"/>
    <cellStyle name="Standard 4 2" xfId="74" xr:uid="{00000000-0005-0000-0000-000038010000}"/>
    <cellStyle name="Standard 4 3" xfId="105" xr:uid="{00000000-0005-0000-0000-000039010000}"/>
    <cellStyle name="Standard 5" xfId="32" xr:uid="{00000000-0005-0000-0000-00003A010000}"/>
    <cellStyle name="Standard 5 2" xfId="73" xr:uid="{00000000-0005-0000-0000-00003B010000}"/>
    <cellStyle name="Standard 5 3" xfId="111" xr:uid="{00000000-0005-0000-0000-00003C010000}"/>
    <cellStyle name="Standard 5 3 2" xfId="190" xr:uid="{00000000-0005-0000-0000-00003D010000}"/>
    <cellStyle name="Standard 5 4" xfId="159" xr:uid="{00000000-0005-0000-0000-00003E010000}"/>
    <cellStyle name="Standard 6" xfId="56" xr:uid="{00000000-0005-0000-0000-00003F010000}"/>
    <cellStyle name="Standard 6 2" xfId="130" xr:uid="{00000000-0005-0000-0000-000040010000}"/>
    <cellStyle name="Standard 7" xfId="82" xr:uid="{00000000-0005-0000-0000-000041010000}"/>
    <cellStyle name="Standard 8" xfId="86" xr:uid="{00000000-0005-0000-0000-000042010000}"/>
    <cellStyle name="Standard 8 2" xfId="143" xr:uid="{00000000-0005-0000-0000-000043010000}"/>
    <cellStyle name="Standard 9" xfId="88" xr:uid="{00000000-0005-0000-0000-00004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5281/zenodo.13236226" TargetMode="External"/><Relationship Id="rId1" Type="http://schemas.openxmlformats.org/officeDocument/2006/relationships/hyperlink" Target="mailto:tobias.fleiter@isi.fraunhofer.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5" sqref="B5"/>
    </sheetView>
  </sheetViews>
  <sheetFormatPr defaultColWidth="9.140625" defaultRowHeight="15"/>
  <cols>
    <col min="1" max="1" width="36" customWidth="1"/>
    <col min="2" max="2" width="28.5703125" customWidth="1"/>
    <col min="3" max="3" width="100.42578125" customWidth="1"/>
  </cols>
  <sheetData>
    <row r="1" spans="1:3" ht="36" customHeight="1">
      <c r="A1" s="211" t="s">
        <v>0</v>
      </c>
      <c r="B1" s="87" t="s">
        <v>1</v>
      </c>
    </row>
    <row r="2" spans="1:3">
      <c r="A2" s="211" t="s">
        <v>2</v>
      </c>
      <c r="B2" t="s">
        <v>3</v>
      </c>
      <c r="C2" s="88" t="s">
        <v>4</v>
      </c>
    </row>
    <row r="5" spans="1:3">
      <c r="B5" s="87"/>
    </row>
    <row r="6" spans="1:3">
      <c r="A6" s="87" t="s">
        <v>5</v>
      </c>
      <c r="B6" s="87"/>
    </row>
    <row r="7" spans="1:3">
      <c r="A7" s="206" t="s">
        <v>6</v>
      </c>
      <c r="B7" s="207" t="s">
        <v>6</v>
      </c>
      <c r="C7" t="s">
        <v>7</v>
      </c>
    </row>
    <row r="8" spans="1:3">
      <c r="A8" s="204" t="s">
        <v>8</v>
      </c>
      <c r="B8" s="205" t="s">
        <v>9</v>
      </c>
      <c r="C8" t="s">
        <v>10</v>
      </c>
    </row>
    <row r="9" spans="1:3">
      <c r="A9" s="204"/>
      <c r="B9" s="205" t="s">
        <v>11</v>
      </c>
      <c r="C9" t="s">
        <v>12</v>
      </c>
    </row>
    <row r="10" spans="1:3">
      <c r="A10" s="204"/>
      <c r="B10" s="205" t="s">
        <v>13</v>
      </c>
      <c r="C10" t="s">
        <v>14</v>
      </c>
    </row>
    <row r="11" spans="1:3">
      <c r="A11" s="204"/>
      <c r="B11" s="205" t="s">
        <v>15</v>
      </c>
      <c r="C11" t="s">
        <v>16</v>
      </c>
    </row>
    <row r="12" spans="1:3">
      <c r="A12" s="204"/>
      <c r="B12" s="205" t="s">
        <v>17</v>
      </c>
      <c r="C12" t="s">
        <v>18</v>
      </c>
    </row>
    <row r="13" spans="1:3">
      <c r="A13" s="204"/>
      <c r="B13" s="205" t="s">
        <v>19</v>
      </c>
      <c r="C13" t="s">
        <v>20</v>
      </c>
    </row>
    <row r="14" spans="1:3">
      <c r="A14" s="204"/>
      <c r="B14" s="205" t="s">
        <v>21</v>
      </c>
      <c r="C14" t="s">
        <v>22</v>
      </c>
    </row>
    <row r="15" spans="1:3">
      <c r="A15" s="151" t="s">
        <v>23</v>
      </c>
      <c r="B15" s="150" t="s">
        <v>24</v>
      </c>
      <c r="C15" t="s">
        <v>25</v>
      </c>
    </row>
    <row r="16" spans="1:3">
      <c r="A16" s="151"/>
      <c r="B16" s="150" t="s">
        <v>26</v>
      </c>
      <c r="C16" t="s">
        <v>27</v>
      </c>
    </row>
    <row r="17" spans="1:3">
      <c r="A17" s="151"/>
      <c r="B17" s="150" t="s">
        <v>28</v>
      </c>
      <c r="C17" t="s">
        <v>29</v>
      </c>
    </row>
    <row r="18" spans="1:3">
      <c r="A18" s="151"/>
      <c r="B18" s="150" t="s">
        <v>30</v>
      </c>
      <c r="C18" t="s">
        <v>31</v>
      </c>
    </row>
    <row r="19" spans="1:3">
      <c r="A19" s="149"/>
      <c r="B19" s="150" t="s">
        <v>32</v>
      </c>
      <c r="C19" t="s">
        <v>33</v>
      </c>
    </row>
    <row r="20" spans="1:3">
      <c r="A20" s="149"/>
      <c r="B20" s="150" t="s">
        <v>34</v>
      </c>
      <c r="C20" t="s">
        <v>35</v>
      </c>
    </row>
    <row r="21" spans="1:3">
      <c r="A21" s="149"/>
      <c r="B21" s="150" t="s">
        <v>36</v>
      </c>
      <c r="C21" t="s">
        <v>37</v>
      </c>
    </row>
    <row r="24" spans="1:3">
      <c r="A24" t="s">
        <v>38</v>
      </c>
    </row>
    <row r="25" spans="1:3">
      <c r="A25" s="88" t="s">
        <v>39</v>
      </c>
    </row>
  </sheetData>
  <hyperlinks>
    <hyperlink ref="B17" location="Industry_CCS!A1" display="Industry_CCS" xr:uid="{00000000-0004-0000-0000-000000000000}"/>
    <hyperlink ref="B16" location="Industry_ESC_FEC!A1" display="Industry_ESC_FEC" xr:uid="{00000000-0004-0000-0000-000001000000}"/>
    <hyperlink ref="B19" location="Building_TechEfficiency!A1" display="Building_TechEfficiency" xr:uid="{00000000-0004-0000-0000-000002000000}"/>
    <hyperlink ref="B20" location="'Transport_Activity'!A1" display="Transport_Activity" xr:uid="{00000000-0004-0000-0000-000003000000}"/>
    <hyperlink ref="B21" location="'Transport_TechEfficiency'!A1" display="Transport_TechEfficiency" xr:uid="{00000000-0004-0000-0000-000004000000}"/>
    <hyperlink ref="C2" r:id="rId1" xr:uid="{00000000-0004-0000-0000-000005000000}"/>
    <hyperlink ref="B9" location="H2_Demand_FED_NUTS1!A1" display="H2_Demand_FED_NUTS1" xr:uid="{00000000-0004-0000-0000-000006000000}"/>
    <hyperlink ref="B11" location="'Energy balance - FED'!A1" display="Energy-balance_FED" xr:uid="{00000000-0004-0000-0000-000007000000}"/>
    <hyperlink ref="B10" location="H2_Demand_Conversion!A1" display="H2_Demand_Conversion" xr:uid="{0F236B61-04A5-43A7-BA9E-79375FAA9AE3}"/>
    <hyperlink ref="B7" location="Definitions!A1" display="Definitions" xr:uid="{15034082-4262-47AA-9A38-59FFF8BAE642}"/>
    <hyperlink ref="B8" location="H2_Demand_FED_NUTS0!A1" display="H2_Demand_FED_NUTS0" xr:uid="{1F3FF0BE-1305-46FA-9069-D3B64351B9F7}"/>
    <hyperlink ref="A25" r:id="rId2" display="https://doi.org/10.5281/zenodo.13236226" xr:uid="{7381BFF5-4BF2-4F34-A8C7-41292ABFB797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3CB7-B621-45BE-9C36-E31D651CB94F}">
  <dimension ref="A2:D155"/>
  <sheetViews>
    <sheetView showGridLines="0" workbookViewId="0">
      <selection activeCell="C36" sqref="C36"/>
    </sheetView>
  </sheetViews>
  <sheetFormatPr defaultColWidth="11.42578125" defaultRowHeight="15"/>
  <cols>
    <col min="1" max="1" width="17.7109375" customWidth="1"/>
    <col min="2" max="2" width="27.42578125" customWidth="1"/>
    <col min="3" max="3" width="63.7109375" customWidth="1"/>
    <col min="4" max="4" width="102.140625" customWidth="1"/>
  </cols>
  <sheetData>
    <row r="2" spans="1:4">
      <c r="B2" s="148" t="s">
        <v>40</v>
      </c>
      <c r="C2" s="148"/>
      <c r="D2" s="148"/>
    </row>
    <row r="3" spans="1:4">
      <c r="A3" s="87"/>
      <c r="B3" s="87" t="s">
        <v>41</v>
      </c>
      <c r="C3" s="87" t="s">
        <v>42</v>
      </c>
      <c r="D3" s="87" t="s">
        <v>43</v>
      </c>
    </row>
    <row r="4" spans="1:4">
      <c r="B4" t="s">
        <v>44</v>
      </c>
      <c r="C4" t="s">
        <v>45</v>
      </c>
    </row>
    <row r="5" spans="1:4">
      <c r="B5" t="s">
        <v>46</v>
      </c>
      <c r="C5" t="s">
        <v>47</v>
      </c>
    </row>
    <row r="6" spans="1:4">
      <c r="B6" t="s">
        <v>48</v>
      </c>
      <c r="C6" t="s">
        <v>49</v>
      </c>
    </row>
    <row r="7" spans="1:4">
      <c r="B7" t="s">
        <v>50</v>
      </c>
      <c r="C7" t="s">
        <v>51</v>
      </c>
    </row>
    <row r="8" spans="1:4">
      <c r="B8" t="s">
        <v>52</v>
      </c>
      <c r="C8" t="s">
        <v>53</v>
      </c>
    </row>
    <row r="11" spans="1:4">
      <c r="B11" s="148" t="s">
        <v>54</v>
      </c>
      <c r="C11" s="148"/>
      <c r="D11" s="148"/>
    </row>
    <row r="12" spans="1:4">
      <c r="B12" s="87" t="s">
        <v>55</v>
      </c>
      <c r="C12" s="87" t="s">
        <v>42</v>
      </c>
      <c r="D12" s="87" t="s">
        <v>56</v>
      </c>
    </row>
    <row r="13" spans="1:4">
      <c r="B13" t="s">
        <v>57</v>
      </c>
      <c r="C13" t="s">
        <v>58</v>
      </c>
      <c r="D13" t="s">
        <v>59</v>
      </c>
    </row>
    <row r="14" spans="1:4">
      <c r="B14" t="s">
        <v>60</v>
      </c>
      <c r="C14" t="s">
        <v>61</v>
      </c>
      <c r="D14" t="s">
        <v>62</v>
      </c>
    </row>
    <row r="15" spans="1:4">
      <c r="B15" t="s">
        <v>63</v>
      </c>
      <c r="C15" t="s">
        <v>64</v>
      </c>
      <c r="D15" t="s">
        <v>65</v>
      </c>
    </row>
    <row r="16" spans="1:4">
      <c r="B16" t="s">
        <v>66</v>
      </c>
      <c r="C16" t="s">
        <v>67</v>
      </c>
      <c r="D16" t="s">
        <v>68</v>
      </c>
    </row>
    <row r="17" spans="2:4">
      <c r="B17" t="s">
        <v>69</v>
      </c>
      <c r="C17" t="s">
        <v>70</v>
      </c>
      <c r="D17" t="s">
        <v>71</v>
      </c>
    </row>
    <row r="18" spans="2:4">
      <c r="B18" t="s">
        <v>72</v>
      </c>
      <c r="C18" t="s">
        <v>73</v>
      </c>
      <c r="D18" t="s">
        <v>74</v>
      </c>
    </row>
    <row r="19" spans="2:4">
      <c r="B19" t="s">
        <v>75</v>
      </c>
      <c r="C19" t="s">
        <v>75</v>
      </c>
    </row>
    <row r="20" spans="2:4">
      <c r="B20" t="s">
        <v>76</v>
      </c>
      <c r="C20" t="s">
        <v>76</v>
      </c>
      <c r="D20" t="s">
        <v>77</v>
      </c>
    </row>
    <row r="21" spans="2:4">
      <c r="B21" t="s">
        <v>78</v>
      </c>
      <c r="C21" t="s">
        <v>78</v>
      </c>
      <c r="D21" t="s">
        <v>79</v>
      </c>
    </row>
    <row r="22" spans="2:4">
      <c r="B22" t="s">
        <v>80</v>
      </c>
      <c r="C22" t="s">
        <v>81</v>
      </c>
      <c r="D22" t="s">
        <v>82</v>
      </c>
    </row>
    <row r="23" spans="2:4">
      <c r="B23" t="s">
        <v>83</v>
      </c>
      <c r="C23" t="s">
        <v>84</v>
      </c>
    </row>
    <row r="24" spans="2:4">
      <c r="B24" t="s">
        <v>85</v>
      </c>
      <c r="C24" t="s">
        <v>86</v>
      </c>
    </row>
    <row r="25" spans="2:4">
      <c r="B25" t="s">
        <v>87</v>
      </c>
      <c r="C25" t="s">
        <v>88</v>
      </c>
      <c r="D25" t="s">
        <v>89</v>
      </c>
    </row>
    <row r="26" spans="2:4">
      <c r="B26" t="s">
        <v>90</v>
      </c>
      <c r="C26" t="s">
        <v>91</v>
      </c>
    </row>
    <row r="27" spans="2:4">
      <c r="B27" t="s">
        <v>92</v>
      </c>
      <c r="C27" t="s">
        <v>93</v>
      </c>
      <c r="D27" t="s">
        <v>94</v>
      </c>
    </row>
    <row r="28" spans="2:4">
      <c r="B28" t="s">
        <v>95</v>
      </c>
      <c r="C28" t="s">
        <v>95</v>
      </c>
      <c r="D28" t="s">
        <v>96</v>
      </c>
    </row>
    <row r="30" spans="2:4">
      <c r="B30" s="148" t="s">
        <v>97</v>
      </c>
      <c r="C30" s="148"/>
      <c r="D30" s="148"/>
    </row>
    <row r="31" spans="2:4">
      <c r="B31" s="87" t="s">
        <v>98</v>
      </c>
      <c r="C31" s="87" t="s">
        <v>99</v>
      </c>
    </row>
    <row r="32" spans="2:4">
      <c r="B32" t="s">
        <v>100</v>
      </c>
      <c r="C32" t="s">
        <v>101</v>
      </c>
    </row>
    <row r="33" spans="2:3">
      <c r="B33" t="s">
        <v>102</v>
      </c>
      <c r="C33" t="s">
        <v>103</v>
      </c>
    </row>
    <row r="34" spans="2:3">
      <c r="B34" t="s">
        <v>104</v>
      </c>
      <c r="C34" t="s">
        <v>105</v>
      </c>
    </row>
    <row r="35" spans="2:3">
      <c r="B35" t="s">
        <v>106</v>
      </c>
      <c r="C35" t="s">
        <v>107</v>
      </c>
    </row>
    <row r="36" spans="2:3">
      <c r="B36" t="s">
        <v>108</v>
      </c>
      <c r="C36" t="s">
        <v>109</v>
      </c>
    </row>
    <row r="37" spans="2:3">
      <c r="B37" t="s">
        <v>110</v>
      </c>
      <c r="C37" t="s">
        <v>111</v>
      </c>
    </row>
    <row r="38" spans="2:3">
      <c r="B38" t="s">
        <v>112</v>
      </c>
      <c r="C38" t="s">
        <v>113</v>
      </c>
    </row>
    <row r="39" spans="2:3">
      <c r="B39" t="s">
        <v>114</v>
      </c>
      <c r="C39" t="s">
        <v>115</v>
      </c>
    </row>
    <row r="40" spans="2:3">
      <c r="B40" t="s">
        <v>116</v>
      </c>
      <c r="C40" t="s">
        <v>117</v>
      </c>
    </row>
    <row r="41" spans="2:3">
      <c r="B41" t="s">
        <v>118</v>
      </c>
      <c r="C41" t="s">
        <v>119</v>
      </c>
    </row>
    <row r="42" spans="2:3">
      <c r="B42" t="s">
        <v>120</v>
      </c>
      <c r="C42" t="s">
        <v>121</v>
      </c>
    </row>
    <row r="43" spans="2:3">
      <c r="B43" t="s">
        <v>122</v>
      </c>
      <c r="C43" t="s">
        <v>123</v>
      </c>
    </row>
    <row r="44" spans="2:3">
      <c r="B44" t="s">
        <v>124</v>
      </c>
      <c r="C44" t="s">
        <v>125</v>
      </c>
    </row>
    <row r="45" spans="2:3">
      <c r="B45" t="s">
        <v>126</v>
      </c>
      <c r="C45" t="s">
        <v>127</v>
      </c>
    </row>
    <row r="46" spans="2:3">
      <c r="B46" t="s">
        <v>128</v>
      </c>
      <c r="C46" t="s">
        <v>129</v>
      </c>
    </row>
    <row r="47" spans="2:3">
      <c r="B47" t="s">
        <v>130</v>
      </c>
      <c r="C47" t="s">
        <v>131</v>
      </c>
    </row>
    <row r="48" spans="2:3">
      <c r="B48" t="s">
        <v>132</v>
      </c>
      <c r="C48" t="s">
        <v>133</v>
      </c>
    </row>
    <row r="50" spans="2:4">
      <c r="B50" s="148" t="s">
        <v>134</v>
      </c>
      <c r="C50" s="148"/>
      <c r="D50" s="148"/>
    </row>
    <row r="51" spans="2:4">
      <c r="B51" s="87" t="s">
        <v>135</v>
      </c>
      <c r="C51" s="87" t="s">
        <v>136</v>
      </c>
      <c r="D51" s="87" t="s">
        <v>137</v>
      </c>
    </row>
    <row r="52" spans="2:4">
      <c r="B52" t="s">
        <v>138</v>
      </c>
      <c r="C52" t="s">
        <v>139</v>
      </c>
      <c r="D52" t="s">
        <v>101</v>
      </c>
    </row>
    <row r="53" spans="2:4">
      <c r="B53" t="s">
        <v>140</v>
      </c>
      <c r="C53" t="s">
        <v>141</v>
      </c>
      <c r="D53" t="s">
        <v>101</v>
      </c>
    </row>
    <row r="54" spans="2:4">
      <c r="B54" t="s">
        <v>142</v>
      </c>
      <c r="C54" t="s">
        <v>143</v>
      </c>
      <c r="D54" t="s">
        <v>101</v>
      </c>
    </row>
    <row r="55" spans="2:4">
      <c r="B55" t="s">
        <v>144</v>
      </c>
      <c r="C55" t="s">
        <v>145</v>
      </c>
      <c r="D55" t="s">
        <v>146</v>
      </c>
    </row>
    <row r="56" spans="2:4">
      <c r="B56" t="s">
        <v>147</v>
      </c>
      <c r="C56" t="s">
        <v>148</v>
      </c>
      <c r="D56" t="s">
        <v>146</v>
      </c>
    </row>
    <row r="57" spans="2:4">
      <c r="B57" t="s">
        <v>149</v>
      </c>
      <c r="C57" t="s">
        <v>150</v>
      </c>
      <c r="D57" t="s">
        <v>146</v>
      </c>
    </row>
    <row r="58" spans="2:4">
      <c r="B58" t="s">
        <v>151</v>
      </c>
      <c r="C58" t="s">
        <v>152</v>
      </c>
      <c r="D58" t="s">
        <v>153</v>
      </c>
    </row>
    <row r="59" spans="2:4">
      <c r="B59" t="s">
        <v>154</v>
      </c>
      <c r="C59" t="s">
        <v>155</v>
      </c>
      <c r="D59" t="s">
        <v>111</v>
      </c>
    </row>
    <row r="60" spans="2:4">
      <c r="B60" t="s">
        <v>156</v>
      </c>
      <c r="C60" t="s">
        <v>157</v>
      </c>
      <c r="D60" t="s">
        <v>115</v>
      </c>
    </row>
    <row r="61" spans="2:4">
      <c r="B61" t="s">
        <v>158</v>
      </c>
      <c r="C61" t="s">
        <v>159</v>
      </c>
      <c r="D61" t="s">
        <v>160</v>
      </c>
    </row>
    <row r="62" spans="2:4">
      <c r="B62" t="s">
        <v>161</v>
      </c>
      <c r="C62" t="s">
        <v>162</v>
      </c>
      <c r="D62" t="s">
        <v>117</v>
      </c>
    </row>
    <row r="63" spans="2:4">
      <c r="B63" t="s">
        <v>163</v>
      </c>
      <c r="C63" t="s">
        <v>164</v>
      </c>
      <c r="D63" t="s">
        <v>117</v>
      </c>
    </row>
    <row r="64" spans="2:4">
      <c r="B64" t="s">
        <v>165</v>
      </c>
      <c r="C64" t="s">
        <v>166</v>
      </c>
      <c r="D64" t="s">
        <v>119</v>
      </c>
    </row>
    <row r="65" spans="2:4">
      <c r="B65" t="s">
        <v>167</v>
      </c>
      <c r="C65" t="s">
        <v>168</v>
      </c>
      <c r="D65" t="s">
        <v>119</v>
      </c>
    </row>
    <row r="66" spans="2:4">
      <c r="B66" t="s">
        <v>169</v>
      </c>
      <c r="C66" t="s">
        <v>170</v>
      </c>
      <c r="D66" t="s">
        <v>119</v>
      </c>
    </row>
    <row r="67" spans="2:4">
      <c r="B67" t="s">
        <v>171</v>
      </c>
      <c r="C67" t="s">
        <v>172</v>
      </c>
      <c r="D67" t="s">
        <v>119</v>
      </c>
    </row>
    <row r="68" spans="2:4">
      <c r="B68" t="s">
        <v>173</v>
      </c>
      <c r="C68" t="s">
        <v>174</v>
      </c>
      <c r="D68" t="s">
        <v>119</v>
      </c>
    </row>
    <row r="69" spans="2:4">
      <c r="B69" t="s">
        <v>175</v>
      </c>
      <c r="C69" t="s">
        <v>176</v>
      </c>
      <c r="D69" t="s">
        <v>119</v>
      </c>
    </row>
    <row r="70" spans="2:4">
      <c r="B70" t="s">
        <v>177</v>
      </c>
      <c r="C70" t="s">
        <v>178</v>
      </c>
      <c r="D70" t="s">
        <v>119</v>
      </c>
    </row>
    <row r="71" spans="2:4">
      <c r="B71" t="s">
        <v>179</v>
      </c>
      <c r="C71" t="s">
        <v>180</v>
      </c>
      <c r="D71" t="s">
        <v>119</v>
      </c>
    </row>
    <row r="72" spans="2:4">
      <c r="B72" t="s">
        <v>181</v>
      </c>
      <c r="C72" t="s">
        <v>182</v>
      </c>
      <c r="D72" t="s">
        <v>119</v>
      </c>
    </row>
    <row r="73" spans="2:4">
      <c r="B73" t="s">
        <v>183</v>
      </c>
      <c r="C73" t="s">
        <v>184</v>
      </c>
      <c r="D73" t="s">
        <v>119</v>
      </c>
    </row>
    <row r="74" spans="2:4">
      <c r="B74" t="s">
        <v>185</v>
      </c>
      <c r="C74" t="s">
        <v>186</v>
      </c>
      <c r="D74" t="s">
        <v>119</v>
      </c>
    </row>
    <row r="75" spans="2:4">
      <c r="B75" t="s">
        <v>187</v>
      </c>
      <c r="C75" t="s">
        <v>188</v>
      </c>
      <c r="D75" t="s">
        <v>119</v>
      </c>
    </row>
    <row r="76" spans="2:4">
      <c r="B76" t="s">
        <v>189</v>
      </c>
      <c r="C76" t="s">
        <v>190</v>
      </c>
      <c r="D76" t="s">
        <v>119</v>
      </c>
    </row>
    <row r="77" spans="2:4">
      <c r="B77" t="s">
        <v>191</v>
      </c>
      <c r="C77" t="s">
        <v>192</v>
      </c>
      <c r="D77" t="s">
        <v>119</v>
      </c>
    </row>
    <row r="78" spans="2:4">
      <c r="B78" t="s">
        <v>193</v>
      </c>
      <c r="C78" t="s">
        <v>194</v>
      </c>
      <c r="D78" t="s">
        <v>113</v>
      </c>
    </row>
    <row r="79" spans="2:4">
      <c r="B79" t="s">
        <v>195</v>
      </c>
      <c r="C79" t="s">
        <v>196</v>
      </c>
      <c r="D79" t="s">
        <v>113</v>
      </c>
    </row>
    <row r="80" spans="2:4">
      <c r="B80" t="s">
        <v>197</v>
      </c>
      <c r="C80" t="s">
        <v>198</v>
      </c>
      <c r="D80" t="s">
        <v>113</v>
      </c>
    </row>
    <row r="81" spans="2:4">
      <c r="B81" t="s">
        <v>199</v>
      </c>
      <c r="C81" t="s">
        <v>200</v>
      </c>
      <c r="D81" t="s">
        <v>113</v>
      </c>
    </row>
    <row r="82" spans="2:4">
      <c r="B82" t="s">
        <v>201</v>
      </c>
      <c r="C82" t="s">
        <v>202</v>
      </c>
      <c r="D82" t="s">
        <v>113</v>
      </c>
    </row>
    <row r="83" spans="2:4">
      <c r="B83" t="s">
        <v>203</v>
      </c>
      <c r="C83" t="s">
        <v>204</v>
      </c>
      <c r="D83" t="s">
        <v>113</v>
      </c>
    </row>
    <row r="84" spans="2:4">
      <c r="B84" t="s">
        <v>205</v>
      </c>
      <c r="C84" t="s">
        <v>206</v>
      </c>
      <c r="D84" t="s">
        <v>113</v>
      </c>
    </row>
    <row r="85" spans="2:4">
      <c r="B85" t="s">
        <v>207</v>
      </c>
      <c r="C85" t="s">
        <v>208</v>
      </c>
      <c r="D85" t="s">
        <v>113</v>
      </c>
    </row>
    <row r="86" spans="2:4">
      <c r="B86" t="s">
        <v>209</v>
      </c>
      <c r="C86" t="s">
        <v>210</v>
      </c>
      <c r="D86" t="s">
        <v>113</v>
      </c>
    </row>
    <row r="87" spans="2:4">
      <c r="B87" t="s">
        <v>211</v>
      </c>
      <c r="C87" t="s">
        <v>212</v>
      </c>
      <c r="D87" t="s">
        <v>113</v>
      </c>
    </row>
    <row r="88" spans="2:4">
      <c r="B88" t="s">
        <v>213</v>
      </c>
      <c r="C88" t="s">
        <v>214</v>
      </c>
      <c r="D88" t="s">
        <v>113</v>
      </c>
    </row>
    <row r="89" spans="2:4">
      <c r="B89" t="s">
        <v>215</v>
      </c>
      <c r="C89" t="s">
        <v>216</v>
      </c>
      <c r="D89" t="s">
        <v>113</v>
      </c>
    </row>
    <row r="90" spans="2:4">
      <c r="B90" t="s">
        <v>217</v>
      </c>
      <c r="C90" t="s">
        <v>218</v>
      </c>
      <c r="D90" t="s">
        <v>113</v>
      </c>
    </row>
    <row r="91" spans="2:4">
      <c r="B91" t="s">
        <v>219</v>
      </c>
      <c r="C91" t="s">
        <v>220</v>
      </c>
      <c r="D91" t="s">
        <v>113</v>
      </c>
    </row>
    <row r="92" spans="2:4">
      <c r="B92" t="s">
        <v>221</v>
      </c>
      <c r="C92" t="s">
        <v>222</v>
      </c>
      <c r="D92" t="s">
        <v>113</v>
      </c>
    </row>
    <row r="93" spans="2:4">
      <c r="B93" t="s">
        <v>223</v>
      </c>
      <c r="C93" t="s">
        <v>224</v>
      </c>
      <c r="D93" t="s">
        <v>113</v>
      </c>
    </row>
    <row r="94" spans="2:4">
      <c r="B94" t="s">
        <v>225</v>
      </c>
      <c r="C94" t="s">
        <v>226</v>
      </c>
      <c r="D94" t="s">
        <v>227</v>
      </c>
    </row>
    <row r="95" spans="2:4">
      <c r="B95" t="s">
        <v>228</v>
      </c>
      <c r="C95" t="s">
        <v>229</v>
      </c>
      <c r="D95" t="s">
        <v>227</v>
      </c>
    </row>
    <row r="96" spans="2:4">
      <c r="B96" t="s">
        <v>230</v>
      </c>
      <c r="C96" t="s">
        <v>231</v>
      </c>
      <c r="D96" t="s">
        <v>227</v>
      </c>
    </row>
    <row r="97" spans="2:4">
      <c r="B97" t="s">
        <v>232</v>
      </c>
      <c r="C97" t="s">
        <v>233</v>
      </c>
      <c r="D97" t="s">
        <v>227</v>
      </c>
    </row>
    <row r="98" spans="2:4">
      <c r="B98" t="s">
        <v>234</v>
      </c>
      <c r="C98" t="s">
        <v>235</v>
      </c>
      <c r="D98" t="s">
        <v>236</v>
      </c>
    </row>
    <row r="99" spans="2:4">
      <c r="B99" t="s">
        <v>237</v>
      </c>
      <c r="C99" t="s">
        <v>238</v>
      </c>
      <c r="D99" t="s">
        <v>236</v>
      </c>
    </row>
    <row r="100" spans="2:4">
      <c r="B100" t="s">
        <v>239</v>
      </c>
      <c r="C100" t="s">
        <v>240</v>
      </c>
      <c r="D100" t="s">
        <v>236</v>
      </c>
    </row>
    <row r="101" spans="2:4">
      <c r="B101" t="s">
        <v>241</v>
      </c>
      <c r="C101" t="s">
        <v>242</v>
      </c>
      <c r="D101" t="s">
        <v>243</v>
      </c>
    </row>
    <row r="102" spans="2:4">
      <c r="B102" t="s">
        <v>244</v>
      </c>
      <c r="C102" t="s">
        <v>245</v>
      </c>
      <c r="D102" t="s">
        <v>123</v>
      </c>
    </row>
    <row r="103" spans="2:4">
      <c r="B103" t="s">
        <v>246</v>
      </c>
      <c r="C103" t="s">
        <v>247</v>
      </c>
      <c r="D103" t="s">
        <v>123</v>
      </c>
    </row>
    <row r="104" spans="2:4">
      <c r="B104" t="s">
        <v>248</v>
      </c>
      <c r="C104" t="s">
        <v>249</v>
      </c>
      <c r="D104" t="s">
        <v>123</v>
      </c>
    </row>
    <row r="105" spans="2:4">
      <c r="B105" t="s">
        <v>250</v>
      </c>
      <c r="C105" t="s">
        <v>251</v>
      </c>
      <c r="D105" t="s">
        <v>123</v>
      </c>
    </row>
    <row r="106" spans="2:4">
      <c r="B106" t="s">
        <v>252</v>
      </c>
      <c r="C106" t="s">
        <v>253</v>
      </c>
      <c r="D106" t="s">
        <v>123</v>
      </c>
    </row>
    <row r="107" spans="2:4">
      <c r="B107" t="s">
        <v>254</v>
      </c>
      <c r="C107" t="s">
        <v>255</v>
      </c>
      <c r="D107" t="s">
        <v>256</v>
      </c>
    </row>
    <row r="108" spans="2:4">
      <c r="B108" t="s">
        <v>257</v>
      </c>
      <c r="C108" t="s">
        <v>258</v>
      </c>
      <c r="D108" t="s">
        <v>259</v>
      </c>
    </row>
    <row r="109" spans="2:4">
      <c r="B109" t="s">
        <v>260</v>
      </c>
      <c r="C109" t="s">
        <v>261</v>
      </c>
      <c r="D109" t="s">
        <v>261</v>
      </c>
    </row>
    <row r="110" spans="2:4">
      <c r="B110" t="s">
        <v>262</v>
      </c>
      <c r="C110" t="s">
        <v>263</v>
      </c>
      <c r="D110" t="s">
        <v>263</v>
      </c>
    </row>
    <row r="111" spans="2:4">
      <c r="B111" t="s">
        <v>264</v>
      </c>
      <c r="C111" t="s">
        <v>265</v>
      </c>
      <c r="D111" t="s">
        <v>125</v>
      </c>
    </row>
    <row r="112" spans="2:4">
      <c r="B112" t="s">
        <v>266</v>
      </c>
      <c r="C112" t="s">
        <v>267</v>
      </c>
      <c r="D112" t="s">
        <v>125</v>
      </c>
    </row>
    <row r="113" spans="2:4">
      <c r="B113" t="s">
        <v>268</v>
      </c>
      <c r="C113" t="s">
        <v>269</v>
      </c>
      <c r="D113" t="s">
        <v>125</v>
      </c>
    </row>
    <row r="114" spans="2:4">
      <c r="B114" t="s">
        <v>270</v>
      </c>
      <c r="C114" t="s">
        <v>271</v>
      </c>
      <c r="D114" t="s">
        <v>125</v>
      </c>
    </row>
    <row r="115" spans="2:4">
      <c r="B115" t="s">
        <v>272</v>
      </c>
      <c r="C115" t="s">
        <v>273</v>
      </c>
      <c r="D115" t="s">
        <v>129</v>
      </c>
    </row>
    <row r="116" spans="2:4">
      <c r="B116" t="s">
        <v>274</v>
      </c>
      <c r="C116" t="s">
        <v>275</v>
      </c>
      <c r="D116" t="s">
        <v>129</v>
      </c>
    </row>
    <row r="117" spans="2:4">
      <c r="B117" t="s">
        <v>276</v>
      </c>
      <c r="C117" t="s">
        <v>277</v>
      </c>
      <c r="D117" t="s">
        <v>129</v>
      </c>
    </row>
    <row r="118" spans="2:4">
      <c r="B118" t="s">
        <v>278</v>
      </c>
      <c r="C118" t="s">
        <v>279</v>
      </c>
      <c r="D118" t="s">
        <v>129</v>
      </c>
    </row>
    <row r="119" spans="2:4">
      <c r="B119" t="s">
        <v>280</v>
      </c>
      <c r="C119" t="s">
        <v>281</v>
      </c>
      <c r="D119" t="s">
        <v>129</v>
      </c>
    </row>
    <row r="120" spans="2:4">
      <c r="B120" t="s">
        <v>282</v>
      </c>
      <c r="C120" t="s">
        <v>283</v>
      </c>
      <c r="D120" t="s">
        <v>129</v>
      </c>
    </row>
    <row r="121" spans="2:4">
      <c r="B121" t="s">
        <v>284</v>
      </c>
      <c r="C121" t="s">
        <v>285</v>
      </c>
      <c r="D121" t="s">
        <v>129</v>
      </c>
    </row>
    <row r="122" spans="2:4">
      <c r="B122" t="s">
        <v>286</v>
      </c>
      <c r="C122" t="s">
        <v>287</v>
      </c>
      <c r="D122" t="s">
        <v>288</v>
      </c>
    </row>
    <row r="123" spans="2:4">
      <c r="B123" t="s">
        <v>289</v>
      </c>
      <c r="C123" t="s">
        <v>290</v>
      </c>
      <c r="D123" t="s">
        <v>288</v>
      </c>
    </row>
    <row r="124" spans="2:4">
      <c r="B124" t="s">
        <v>291</v>
      </c>
      <c r="C124" t="s">
        <v>292</v>
      </c>
      <c r="D124" t="s">
        <v>288</v>
      </c>
    </row>
    <row r="125" spans="2:4">
      <c r="B125" t="s">
        <v>293</v>
      </c>
      <c r="C125" t="s">
        <v>294</v>
      </c>
      <c r="D125" t="s">
        <v>295</v>
      </c>
    </row>
    <row r="126" spans="2:4">
      <c r="B126" t="s">
        <v>296</v>
      </c>
      <c r="C126" t="s">
        <v>297</v>
      </c>
      <c r="D126" t="s">
        <v>298</v>
      </c>
    </row>
    <row r="127" spans="2:4">
      <c r="B127" t="s">
        <v>299</v>
      </c>
      <c r="C127" t="s">
        <v>300</v>
      </c>
      <c r="D127" t="s">
        <v>301</v>
      </c>
    </row>
    <row r="128" spans="2:4">
      <c r="B128" t="s">
        <v>302</v>
      </c>
      <c r="C128" t="s">
        <v>303</v>
      </c>
      <c r="D128" t="s">
        <v>301</v>
      </c>
    </row>
    <row r="129" spans="2:4">
      <c r="B129" t="s">
        <v>304</v>
      </c>
      <c r="C129" t="s">
        <v>305</v>
      </c>
      <c r="D129" t="s">
        <v>301</v>
      </c>
    </row>
    <row r="130" spans="2:4">
      <c r="B130" t="s">
        <v>306</v>
      </c>
      <c r="C130" t="s">
        <v>307</v>
      </c>
      <c r="D130" t="s">
        <v>301</v>
      </c>
    </row>
    <row r="131" spans="2:4">
      <c r="B131" t="s">
        <v>308</v>
      </c>
      <c r="C131" t="s">
        <v>309</v>
      </c>
      <c r="D131" t="s">
        <v>301</v>
      </c>
    </row>
    <row r="132" spans="2:4">
      <c r="B132" t="s">
        <v>310</v>
      </c>
      <c r="C132" t="s">
        <v>311</v>
      </c>
      <c r="D132" t="s">
        <v>301</v>
      </c>
    </row>
    <row r="133" spans="2:4">
      <c r="B133" t="s">
        <v>312</v>
      </c>
      <c r="C133" t="s">
        <v>313</v>
      </c>
      <c r="D133" t="s">
        <v>301</v>
      </c>
    </row>
    <row r="134" spans="2:4">
      <c r="B134" t="s">
        <v>314</v>
      </c>
      <c r="C134" t="s">
        <v>315</v>
      </c>
      <c r="D134" t="s">
        <v>131</v>
      </c>
    </row>
    <row r="135" spans="2:4">
      <c r="B135" t="s">
        <v>316</v>
      </c>
      <c r="C135" t="s">
        <v>317</v>
      </c>
      <c r="D135" t="s">
        <v>131</v>
      </c>
    </row>
    <row r="136" spans="2:4">
      <c r="B136" t="s">
        <v>318</v>
      </c>
      <c r="C136" t="s">
        <v>319</v>
      </c>
      <c r="D136" t="s">
        <v>131</v>
      </c>
    </row>
    <row r="137" spans="2:4">
      <c r="B137" t="s">
        <v>320</v>
      </c>
      <c r="C137" t="s">
        <v>321</v>
      </c>
      <c r="D137" t="s">
        <v>322</v>
      </c>
    </row>
    <row r="138" spans="2:4">
      <c r="B138" t="s">
        <v>323</v>
      </c>
      <c r="C138" t="s">
        <v>324</v>
      </c>
      <c r="D138" t="s">
        <v>322</v>
      </c>
    </row>
    <row r="139" spans="2:4">
      <c r="B139" t="s">
        <v>325</v>
      </c>
      <c r="C139" t="s">
        <v>326</v>
      </c>
      <c r="D139" t="s">
        <v>322</v>
      </c>
    </row>
    <row r="140" spans="2:4">
      <c r="B140" t="s">
        <v>327</v>
      </c>
      <c r="C140" t="s">
        <v>328</v>
      </c>
      <c r="D140" t="s">
        <v>322</v>
      </c>
    </row>
    <row r="141" spans="2:4">
      <c r="B141" t="s">
        <v>329</v>
      </c>
      <c r="C141" t="s">
        <v>330</v>
      </c>
      <c r="D141" t="s">
        <v>322</v>
      </c>
    </row>
    <row r="142" spans="2:4">
      <c r="B142" t="s">
        <v>331</v>
      </c>
      <c r="C142" t="s">
        <v>332</v>
      </c>
      <c r="D142" t="s">
        <v>322</v>
      </c>
    </row>
    <row r="143" spans="2:4">
      <c r="B143" t="s">
        <v>333</v>
      </c>
      <c r="C143" t="s">
        <v>334</v>
      </c>
      <c r="D143" t="s">
        <v>322</v>
      </c>
    </row>
    <row r="144" spans="2:4">
      <c r="B144" t="s">
        <v>335</v>
      </c>
      <c r="C144" t="s">
        <v>336</v>
      </c>
      <c r="D144" t="s">
        <v>322</v>
      </c>
    </row>
    <row r="145" spans="2:4">
      <c r="B145" t="s">
        <v>337</v>
      </c>
      <c r="C145" t="s">
        <v>338</v>
      </c>
      <c r="D145" t="s">
        <v>322</v>
      </c>
    </row>
    <row r="146" spans="2:4">
      <c r="B146" t="s">
        <v>339</v>
      </c>
      <c r="C146" t="s">
        <v>340</v>
      </c>
      <c r="D146" t="s">
        <v>322</v>
      </c>
    </row>
    <row r="147" spans="2:4">
      <c r="B147" t="s">
        <v>341</v>
      </c>
      <c r="C147" t="s">
        <v>342</v>
      </c>
      <c r="D147" t="s">
        <v>322</v>
      </c>
    </row>
    <row r="148" spans="2:4">
      <c r="B148" t="s">
        <v>343</v>
      </c>
      <c r="C148" t="s">
        <v>344</v>
      </c>
      <c r="D148" t="s">
        <v>322</v>
      </c>
    </row>
    <row r="149" spans="2:4">
      <c r="B149" t="s">
        <v>345</v>
      </c>
      <c r="C149" t="s">
        <v>346</v>
      </c>
      <c r="D149" t="s">
        <v>347</v>
      </c>
    </row>
    <row r="150" spans="2:4">
      <c r="B150" t="s">
        <v>348</v>
      </c>
      <c r="C150" t="s">
        <v>349</v>
      </c>
      <c r="D150" t="s">
        <v>347</v>
      </c>
    </row>
    <row r="151" spans="2:4">
      <c r="B151" t="s">
        <v>350</v>
      </c>
      <c r="C151" t="s">
        <v>351</v>
      </c>
      <c r="D151" t="s">
        <v>347</v>
      </c>
    </row>
    <row r="152" spans="2:4">
      <c r="B152" t="s">
        <v>352</v>
      </c>
      <c r="C152" t="s">
        <v>353</v>
      </c>
      <c r="D152" t="s">
        <v>347</v>
      </c>
    </row>
    <row r="153" spans="2:4">
      <c r="B153" t="s">
        <v>354</v>
      </c>
      <c r="C153" t="s">
        <v>355</v>
      </c>
      <c r="D153" t="s">
        <v>356</v>
      </c>
    </row>
    <row r="154" spans="2:4">
      <c r="B154" t="s">
        <v>357</v>
      </c>
      <c r="C154" t="s">
        <v>358</v>
      </c>
      <c r="D154" t="s">
        <v>356</v>
      </c>
    </row>
    <row r="155" spans="2:4">
      <c r="B155" t="s">
        <v>359</v>
      </c>
      <c r="C155" t="s">
        <v>360</v>
      </c>
      <c r="D155" t="s">
        <v>361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ABC4-4CD7-404F-A980-A02D8B8C0CB7}">
  <sheetPr>
    <tabColor theme="9" tint="0.79998168889431442"/>
  </sheetPr>
  <dimension ref="B2:V149"/>
  <sheetViews>
    <sheetView showGridLines="0" workbookViewId="0">
      <selection activeCell="B3" sqref="B3"/>
    </sheetView>
  </sheetViews>
  <sheetFormatPr defaultColWidth="11.42578125" defaultRowHeight="15"/>
  <cols>
    <col min="2" max="2" width="19.5703125" customWidth="1"/>
  </cols>
  <sheetData>
    <row r="2" spans="2:22" ht="15.75" thickBot="1">
      <c r="B2" s="215" t="s">
        <v>362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</row>
    <row r="3" spans="2:22" ht="15.75" customHeight="1" thickBot="1">
      <c r="B3" s="168"/>
      <c r="C3" s="216" t="s">
        <v>363</v>
      </c>
      <c r="D3" s="213"/>
      <c r="E3" s="213"/>
      <c r="F3" s="213"/>
      <c r="G3" s="214"/>
      <c r="H3" s="216" t="s">
        <v>364</v>
      </c>
      <c r="I3" s="213"/>
      <c r="J3" s="213"/>
      <c r="K3" s="213"/>
      <c r="L3" s="214"/>
      <c r="M3" s="212" t="s">
        <v>365</v>
      </c>
      <c r="N3" s="213"/>
      <c r="O3" s="213"/>
      <c r="P3" s="213"/>
      <c r="Q3" s="214"/>
      <c r="R3" s="212" t="s">
        <v>366</v>
      </c>
      <c r="S3" s="213"/>
      <c r="T3" s="213"/>
      <c r="U3" s="213"/>
      <c r="V3" s="214"/>
    </row>
    <row r="4" spans="2:22" ht="15.75" thickBot="1">
      <c r="B4" s="169"/>
      <c r="C4" s="178">
        <v>2030</v>
      </c>
      <c r="D4" s="179">
        <v>2035</v>
      </c>
      <c r="E4" s="179">
        <v>2040</v>
      </c>
      <c r="F4" s="179">
        <v>2045</v>
      </c>
      <c r="G4" s="180">
        <v>2050</v>
      </c>
      <c r="H4" s="178">
        <v>2030</v>
      </c>
      <c r="I4" s="179">
        <v>2035</v>
      </c>
      <c r="J4" s="179">
        <v>2040</v>
      </c>
      <c r="K4" s="179">
        <v>2045</v>
      </c>
      <c r="L4" s="179">
        <v>2050</v>
      </c>
      <c r="M4" s="178">
        <v>2030</v>
      </c>
      <c r="N4" s="179">
        <v>2035</v>
      </c>
      <c r="O4" s="179">
        <v>2040</v>
      </c>
      <c r="P4" s="179">
        <v>2045</v>
      </c>
      <c r="Q4" s="180">
        <v>2050</v>
      </c>
      <c r="R4" s="179">
        <v>2030</v>
      </c>
      <c r="S4" s="179">
        <v>2035</v>
      </c>
      <c r="T4" s="179">
        <v>2040</v>
      </c>
      <c r="U4" s="179">
        <v>2045</v>
      </c>
      <c r="V4" s="180">
        <v>2050</v>
      </c>
    </row>
    <row r="5" spans="2:22" s="87" customFormat="1">
      <c r="B5" s="181" t="s">
        <v>44</v>
      </c>
      <c r="C5" s="191">
        <v>54.4</v>
      </c>
      <c r="D5" s="191">
        <v>98.4</v>
      </c>
      <c r="E5" s="191">
        <v>120.9</v>
      </c>
      <c r="F5" s="191">
        <v>189.1</v>
      </c>
      <c r="G5" s="192">
        <v>227.4</v>
      </c>
      <c r="M5" s="199">
        <v>5.0999999999999996</v>
      </c>
      <c r="N5" s="191">
        <v>29.7</v>
      </c>
      <c r="O5" s="191">
        <v>44</v>
      </c>
      <c r="P5" s="191">
        <v>55.7</v>
      </c>
      <c r="Q5" s="192">
        <v>65</v>
      </c>
      <c r="R5" s="191">
        <f>M5+H5+C5</f>
        <v>59.5</v>
      </c>
      <c r="S5" s="191">
        <f t="shared" ref="S5:V5" si="0">N5+I5+D5</f>
        <v>128.1</v>
      </c>
      <c r="T5" s="191">
        <f t="shared" si="0"/>
        <v>164.9</v>
      </c>
      <c r="U5" s="191">
        <f t="shared" si="0"/>
        <v>244.8</v>
      </c>
      <c r="V5" s="192">
        <f t="shared" si="0"/>
        <v>292.39999999999998</v>
      </c>
    </row>
    <row r="6" spans="2:22">
      <c r="B6" s="170" t="s">
        <v>101</v>
      </c>
      <c r="C6" s="174">
        <v>1.5</v>
      </c>
      <c r="D6" s="174">
        <v>3.5</v>
      </c>
      <c r="E6" s="174">
        <v>4.5</v>
      </c>
      <c r="F6" s="174">
        <v>6.3</v>
      </c>
      <c r="G6" s="175">
        <v>7.4</v>
      </c>
      <c r="M6" s="200">
        <v>0</v>
      </c>
      <c r="N6" s="174">
        <v>0.1</v>
      </c>
      <c r="O6" s="174">
        <v>0.1</v>
      </c>
      <c r="P6" s="174">
        <v>0.1</v>
      </c>
      <c r="Q6" s="175">
        <v>0.1</v>
      </c>
      <c r="R6" s="174">
        <f t="shared" ref="R6:R69" si="1">M6+H6+C6</f>
        <v>1.5</v>
      </c>
      <c r="S6" s="174">
        <f t="shared" ref="S6:S69" si="2">N6+I6+D6</f>
        <v>3.6</v>
      </c>
      <c r="T6" s="174">
        <f t="shared" ref="T6:T69" si="3">O6+J6+E6</f>
        <v>4.5999999999999996</v>
      </c>
      <c r="U6" s="174">
        <f t="shared" ref="U6:U69" si="4">P6+K6+F6</f>
        <v>6.3999999999999995</v>
      </c>
      <c r="V6" s="175">
        <f t="shared" ref="V6:V69" si="5">Q6+L6+G6</f>
        <v>7.5</v>
      </c>
    </row>
    <row r="7" spans="2:22">
      <c r="B7" s="170" t="s">
        <v>146</v>
      </c>
      <c r="C7" s="174">
        <v>1.5</v>
      </c>
      <c r="D7" s="174">
        <v>4</v>
      </c>
      <c r="E7" s="174">
        <v>5.9</v>
      </c>
      <c r="F7" s="174">
        <v>8.9</v>
      </c>
      <c r="G7" s="175">
        <v>9.9</v>
      </c>
      <c r="M7" s="200">
        <v>0</v>
      </c>
      <c r="N7" s="174">
        <v>0.1</v>
      </c>
      <c r="O7" s="174">
        <v>0.1</v>
      </c>
      <c r="P7" s="174">
        <v>0</v>
      </c>
      <c r="Q7" s="175">
        <v>0</v>
      </c>
      <c r="R7" s="174">
        <f t="shared" si="1"/>
        <v>1.5</v>
      </c>
      <c r="S7" s="174">
        <f t="shared" si="2"/>
        <v>4.0999999999999996</v>
      </c>
      <c r="T7" s="174">
        <f t="shared" si="3"/>
        <v>6</v>
      </c>
      <c r="U7" s="174">
        <f t="shared" si="4"/>
        <v>8.9</v>
      </c>
      <c r="V7" s="175">
        <f t="shared" si="5"/>
        <v>9.9</v>
      </c>
    </row>
    <row r="8" spans="2:22">
      <c r="B8" s="170" t="s">
        <v>261</v>
      </c>
      <c r="C8" s="174">
        <v>0.1</v>
      </c>
      <c r="D8" s="174">
        <v>0.2</v>
      </c>
      <c r="E8" s="174">
        <v>0.3</v>
      </c>
      <c r="F8" s="174">
        <v>0.6</v>
      </c>
      <c r="G8" s="175">
        <v>0.8</v>
      </c>
      <c r="M8" s="200">
        <v>0</v>
      </c>
      <c r="N8" s="174">
        <v>0</v>
      </c>
      <c r="O8" s="174">
        <v>0</v>
      </c>
      <c r="P8" s="174">
        <v>0</v>
      </c>
      <c r="Q8" s="175">
        <v>0</v>
      </c>
      <c r="R8" s="174">
        <f t="shared" si="1"/>
        <v>0.1</v>
      </c>
      <c r="S8" s="174">
        <f t="shared" si="2"/>
        <v>0.2</v>
      </c>
      <c r="T8" s="174">
        <f t="shared" si="3"/>
        <v>0.3</v>
      </c>
      <c r="U8" s="174">
        <f t="shared" si="4"/>
        <v>0.6</v>
      </c>
      <c r="V8" s="175">
        <f t="shared" si="5"/>
        <v>0.8</v>
      </c>
    </row>
    <row r="9" spans="2:22">
      <c r="B9" s="170" t="s">
        <v>356</v>
      </c>
      <c r="C9" s="174">
        <v>0.4</v>
      </c>
      <c r="D9" s="174">
        <v>1.2</v>
      </c>
      <c r="E9" s="174">
        <v>1.9</v>
      </c>
      <c r="F9" s="174">
        <v>3.2</v>
      </c>
      <c r="G9" s="175">
        <v>3.8</v>
      </c>
      <c r="M9" s="200">
        <v>0</v>
      </c>
      <c r="N9" s="174">
        <v>0.1</v>
      </c>
      <c r="O9" s="174">
        <v>0.1</v>
      </c>
      <c r="P9" s="174">
        <v>0.1</v>
      </c>
      <c r="Q9" s="175">
        <v>0.1</v>
      </c>
      <c r="R9" s="174">
        <f t="shared" si="1"/>
        <v>0.4</v>
      </c>
      <c r="S9" s="174">
        <f t="shared" si="2"/>
        <v>1.3</v>
      </c>
      <c r="T9" s="174">
        <f t="shared" si="3"/>
        <v>2</v>
      </c>
      <c r="U9" s="174">
        <f t="shared" si="4"/>
        <v>3.3000000000000003</v>
      </c>
      <c r="V9" s="175">
        <f t="shared" si="5"/>
        <v>3.9</v>
      </c>
    </row>
    <row r="10" spans="2:22">
      <c r="B10" s="170" t="s">
        <v>361</v>
      </c>
      <c r="C10" s="174">
        <v>0.2</v>
      </c>
      <c r="D10" s="174">
        <v>0.5</v>
      </c>
      <c r="E10" s="174">
        <v>0.8</v>
      </c>
      <c r="F10" s="174">
        <v>1.2</v>
      </c>
      <c r="G10" s="175">
        <v>1.4</v>
      </c>
      <c r="M10" s="200">
        <v>0</v>
      </c>
      <c r="N10" s="174">
        <v>0.1</v>
      </c>
      <c r="O10" s="174">
        <v>0.2</v>
      </c>
      <c r="P10" s="174">
        <v>0.2</v>
      </c>
      <c r="Q10" s="175">
        <v>0.2</v>
      </c>
      <c r="R10" s="174">
        <f t="shared" si="1"/>
        <v>0.2</v>
      </c>
      <c r="S10" s="174">
        <f t="shared" si="2"/>
        <v>0.6</v>
      </c>
      <c r="T10" s="174">
        <f t="shared" si="3"/>
        <v>1</v>
      </c>
      <c r="U10" s="174">
        <f t="shared" si="4"/>
        <v>1.4</v>
      </c>
      <c r="V10" s="175">
        <f t="shared" si="5"/>
        <v>1.5999999999999999</v>
      </c>
    </row>
    <row r="11" spans="2:22">
      <c r="B11" s="170" t="s">
        <v>153</v>
      </c>
      <c r="C11" s="174">
        <v>0</v>
      </c>
      <c r="D11" s="174">
        <v>0</v>
      </c>
      <c r="E11" s="174">
        <v>0.1</v>
      </c>
      <c r="F11" s="174">
        <v>0.4</v>
      </c>
      <c r="G11" s="175">
        <v>0.6</v>
      </c>
      <c r="M11" s="200">
        <v>0.1</v>
      </c>
      <c r="N11" s="174">
        <v>0.6</v>
      </c>
      <c r="O11" s="174">
        <v>0.9</v>
      </c>
      <c r="P11" s="174">
        <v>1.2</v>
      </c>
      <c r="Q11" s="175">
        <v>1.4</v>
      </c>
      <c r="R11" s="174">
        <f t="shared" si="1"/>
        <v>0.1</v>
      </c>
      <c r="S11" s="174">
        <f t="shared" si="2"/>
        <v>0.6</v>
      </c>
      <c r="T11" s="174">
        <f t="shared" si="3"/>
        <v>1</v>
      </c>
      <c r="U11" s="174">
        <f t="shared" si="4"/>
        <v>1.6</v>
      </c>
      <c r="V11" s="175">
        <f t="shared" si="5"/>
        <v>2</v>
      </c>
    </row>
    <row r="12" spans="2:22">
      <c r="B12" s="170" t="s">
        <v>227</v>
      </c>
      <c r="C12" s="174">
        <v>0.3</v>
      </c>
      <c r="D12" s="174">
        <v>1</v>
      </c>
      <c r="E12" s="174">
        <v>1.6</v>
      </c>
      <c r="F12" s="174">
        <v>3.1</v>
      </c>
      <c r="G12" s="175">
        <v>3.7</v>
      </c>
      <c r="M12" s="200">
        <v>0.1</v>
      </c>
      <c r="N12" s="174">
        <v>1</v>
      </c>
      <c r="O12" s="174">
        <v>1.5</v>
      </c>
      <c r="P12" s="174">
        <v>2</v>
      </c>
      <c r="Q12" s="175">
        <v>2.2999999999999998</v>
      </c>
      <c r="R12" s="174">
        <f t="shared" si="1"/>
        <v>0.4</v>
      </c>
      <c r="S12" s="174">
        <f t="shared" si="2"/>
        <v>2</v>
      </c>
      <c r="T12" s="174">
        <f t="shared" si="3"/>
        <v>3.1</v>
      </c>
      <c r="U12" s="174">
        <f t="shared" si="4"/>
        <v>5.0999999999999996</v>
      </c>
      <c r="V12" s="175">
        <f t="shared" si="5"/>
        <v>6</v>
      </c>
    </row>
    <row r="13" spans="2:22">
      <c r="B13" s="170" t="s">
        <v>236</v>
      </c>
      <c r="C13" s="174">
        <v>0.7</v>
      </c>
      <c r="D13" s="174">
        <v>1.7</v>
      </c>
      <c r="E13" s="174">
        <v>2.1</v>
      </c>
      <c r="F13" s="174">
        <v>3.3</v>
      </c>
      <c r="G13" s="175">
        <v>4.0999999999999996</v>
      </c>
      <c r="M13" s="200">
        <v>0</v>
      </c>
      <c r="N13" s="174">
        <v>0</v>
      </c>
      <c r="O13" s="174">
        <v>0</v>
      </c>
      <c r="P13" s="174">
        <v>0</v>
      </c>
      <c r="Q13" s="175">
        <v>0</v>
      </c>
      <c r="R13" s="174">
        <f t="shared" si="1"/>
        <v>0.7</v>
      </c>
      <c r="S13" s="174">
        <f t="shared" si="2"/>
        <v>1.7</v>
      </c>
      <c r="T13" s="174">
        <f t="shared" si="3"/>
        <v>2.1</v>
      </c>
      <c r="U13" s="174">
        <f t="shared" si="4"/>
        <v>3.3</v>
      </c>
      <c r="V13" s="175">
        <f t="shared" si="5"/>
        <v>4.0999999999999996</v>
      </c>
    </row>
    <row r="14" spans="2:22">
      <c r="B14" s="170" t="s">
        <v>263</v>
      </c>
      <c r="C14" s="174">
        <v>0</v>
      </c>
      <c r="D14" s="174">
        <v>0</v>
      </c>
      <c r="E14" s="174">
        <v>0</v>
      </c>
      <c r="F14" s="174">
        <v>0</v>
      </c>
      <c r="G14" s="175">
        <v>0</v>
      </c>
      <c r="M14" s="200">
        <v>0</v>
      </c>
      <c r="N14" s="174">
        <v>0</v>
      </c>
      <c r="O14" s="174">
        <v>0</v>
      </c>
      <c r="P14" s="174">
        <v>0</v>
      </c>
      <c r="Q14" s="175">
        <v>0</v>
      </c>
      <c r="R14" s="174">
        <f t="shared" si="1"/>
        <v>0</v>
      </c>
      <c r="S14" s="174">
        <f t="shared" si="2"/>
        <v>0</v>
      </c>
      <c r="T14" s="174">
        <f t="shared" si="3"/>
        <v>0</v>
      </c>
      <c r="U14" s="174">
        <f t="shared" si="4"/>
        <v>0</v>
      </c>
      <c r="V14" s="175">
        <f t="shared" si="5"/>
        <v>0</v>
      </c>
    </row>
    <row r="15" spans="2:22">
      <c r="B15" s="170" t="s">
        <v>295</v>
      </c>
      <c r="C15" s="174">
        <v>1</v>
      </c>
      <c r="D15" s="174">
        <v>2.5</v>
      </c>
      <c r="E15" s="174">
        <v>3</v>
      </c>
      <c r="F15" s="174">
        <v>4.5999999999999996</v>
      </c>
      <c r="G15" s="175">
        <v>5.7</v>
      </c>
      <c r="M15" s="200">
        <v>0</v>
      </c>
      <c r="N15" s="174">
        <v>0.1</v>
      </c>
      <c r="O15" s="174">
        <v>0.2</v>
      </c>
      <c r="P15" s="174">
        <v>0.2</v>
      </c>
      <c r="Q15" s="175">
        <v>0.3</v>
      </c>
      <c r="R15" s="174">
        <f t="shared" si="1"/>
        <v>1</v>
      </c>
      <c r="S15" s="174">
        <f t="shared" si="2"/>
        <v>2.6</v>
      </c>
      <c r="T15" s="174">
        <f t="shared" si="3"/>
        <v>3.2</v>
      </c>
      <c r="U15" s="174">
        <f t="shared" si="4"/>
        <v>4.8</v>
      </c>
      <c r="V15" s="175">
        <f t="shared" si="5"/>
        <v>6</v>
      </c>
    </row>
    <row r="16" spans="2:22">
      <c r="B16" s="170" t="s">
        <v>298</v>
      </c>
      <c r="C16" s="174">
        <v>0.3</v>
      </c>
      <c r="D16" s="174">
        <v>0.9</v>
      </c>
      <c r="E16" s="174">
        <v>1.4</v>
      </c>
      <c r="F16" s="174">
        <v>2</v>
      </c>
      <c r="G16" s="175">
        <v>2.2000000000000002</v>
      </c>
      <c r="M16" s="200">
        <v>0</v>
      </c>
      <c r="N16" s="174">
        <v>0.1</v>
      </c>
      <c r="O16" s="174">
        <v>0.1</v>
      </c>
      <c r="P16" s="174">
        <v>0.1</v>
      </c>
      <c r="Q16" s="175">
        <v>0.1</v>
      </c>
      <c r="R16" s="174">
        <f t="shared" si="1"/>
        <v>0.3</v>
      </c>
      <c r="S16" s="174">
        <f t="shared" si="2"/>
        <v>1</v>
      </c>
      <c r="T16" s="174">
        <f t="shared" si="3"/>
        <v>1.5</v>
      </c>
      <c r="U16" s="174">
        <f t="shared" si="4"/>
        <v>2.1</v>
      </c>
      <c r="V16" s="175">
        <f t="shared" si="5"/>
        <v>2.3000000000000003</v>
      </c>
    </row>
    <row r="17" spans="2:22">
      <c r="B17" s="170" t="s">
        <v>347</v>
      </c>
      <c r="C17" s="174">
        <v>0.9</v>
      </c>
      <c r="D17" s="174">
        <v>2.4</v>
      </c>
      <c r="E17" s="174">
        <v>3.2</v>
      </c>
      <c r="F17" s="174">
        <v>4.8</v>
      </c>
      <c r="G17" s="175">
        <v>5.3</v>
      </c>
      <c r="M17" s="200">
        <v>0</v>
      </c>
      <c r="N17" s="174">
        <v>0.1</v>
      </c>
      <c r="O17" s="174">
        <v>0.1</v>
      </c>
      <c r="P17" s="174">
        <v>0.1</v>
      </c>
      <c r="Q17" s="175">
        <v>0.2</v>
      </c>
      <c r="R17" s="174">
        <f t="shared" si="1"/>
        <v>0.9</v>
      </c>
      <c r="S17" s="174">
        <f t="shared" si="2"/>
        <v>2.5</v>
      </c>
      <c r="T17" s="174">
        <f t="shared" si="3"/>
        <v>3.3000000000000003</v>
      </c>
      <c r="U17" s="174">
        <f t="shared" si="4"/>
        <v>4.8999999999999995</v>
      </c>
      <c r="V17" s="175">
        <f t="shared" si="5"/>
        <v>5.5</v>
      </c>
    </row>
    <row r="18" spans="2:22">
      <c r="B18" s="170" t="s">
        <v>111</v>
      </c>
      <c r="C18" s="174">
        <v>1.3</v>
      </c>
      <c r="D18" s="174">
        <v>3.1</v>
      </c>
      <c r="E18" s="174">
        <v>4.2</v>
      </c>
      <c r="F18" s="174">
        <v>6.7</v>
      </c>
      <c r="G18" s="175">
        <v>8</v>
      </c>
      <c r="M18" s="200">
        <v>0</v>
      </c>
      <c r="N18" s="174">
        <v>0</v>
      </c>
      <c r="O18" s="174">
        <v>0</v>
      </c>
      <c r="P18" s="174">
        <v>0</v>
      </c>
      <c r="Q18" s="175">
        <v>0</v>
      </c>
      <c r="R18" s="174">
        <f t="shared" si="1"/>
        <v>1.3</v>
      </c>
      <c r="S18" s="174">
        <f t="shared" si="2"/>
        <v>3.1</v>
      </c>
      <c r="T18" s="174">
        <f t="shared" si="3"/>
        <v>4.2</v>
      </c>
      <c r="U18" s="174">
        <f t="shared" si="4"/>
        <v>6.7</v>
      </c>
      <c r="V18" s="175">
        <f t="shared" si="5"/>
        <v>8</v>
      </c>
    </row>
    <row r="19" spans="2:22">
      <c r="B19" s="170" t="s">
        <v>115</v>
      </c>
      <c r="C19" s="174">
        <v>0.5</v>
      </c>
      <c r="D19" s="174">
        <v>1.3</v>
      </c>
      <c r="E19" s="174">
        <v>1.9</v>
      </c>
      <c r="F19" s="174">
        <v>3.2</v>
      </c>
      <c r="G19" s="175">
        <v>4.2</v>
      </c>
      <c r="M19" s="200">
        <v>0.4</v>
      </c>
      <c r="N19" s="174">
        <v>2.7</v>
      </c>
      <c r="O19" s="174">
        <v>4.2</v>
      </c>
      <c r="P19" s="174">
        <v>5.3</v>
      </c>
      <c r="Q19" s="175">
        <v>6.2</v>
      </c>
      <c r="R19" s="174">
        <f t="shared" si="1"/>
        <v>0.9</v>
      </c>
      <c r="S19" s="174">
        <f t="shared" si="2"/>
        <v>4</v>
      </c>
      <c r="T19" s="174">
        <f t="shared" si="3"/>
        <v>6.1</v>
      </c>
      <c r="U19" s="174">
        <f t="shared" si="4"/>
        <v>8.5</v>
      </c>
      <c r="V19" s="175">
        <f t="shared" si="5"/>
        <v>10.4</v>
      </c>
    </row>
    <row r="20" spans="2:22">
      <c r="B20" s="170" t="s">
        <v>160</v>
      </c>
      <c r="C20" s="174">
        <v>0.1</v>
      </c>
      <c r="D20" s="174">
        <v>0.2</v>
      </c>
      <c r="E20" s="174">
        <v>0.3</v>
      </c>
      <c r="F20" s="174">
        <v>0.5</v>
      </c>
      <c r="G20" s="175">
        <v>0.6</v>
      </c>
      <c r="M20" s="200">
        <v>0</v>
      </c>
      <c r="N20" s="174">
        <v>0</v>
      </c>
      <c r="O20" s="174">
        <v>0</v>
      </c>
      <c r="P20" s="174">
        <v>0</v>
      </c>
      <c r="Q20" s="175">
        <v>0</v>
      </c>
      <c r="R20" s="174">
        <f t="shared" si="1"/>
        <v>0.1</v>
      </c>
      <c r="S20" s="174">
        <f t="shared" si="2"/>
        <v>0.2</v>
      </c>
      <c r="T20" s="174">
        <f t="shared" si="3"/>
        <v>0.3</v>
      </c>
      <c r="U20" s="174">
        <f t="shared" si="4"/>
        <v>0.5</v>
      </c>
      <c r="V20" s="175">
        <f t="shared" si="5"/>
        <v>0.6</v>
      </c>
    </row>
    <row r="21" spans="2:22">
      <c r="B21" s="170" t="s">
        <v>256</v>
      </c>
      <c r="C21" s="174">
        <v>0.1</v>
      </c>
      <c r="D21" s="174">
        <v>0.3</v>
      </c>
      <c r="E21" s="174">
        <v>0.5</v>
      </c>
      <c r="F21" s="174">
        <v>1</v>
      </c>
      <c r="G21" s="175">
        <v>1.2</v>
      </c>
      <c r="M21" s="200">
        <v>0</v>
      </c>
      <c r="N21" s="174">
        <v>0</v>
      </c>
      <c r="O21" s="174">
        <v>0</v>
      </c>
      <c r="P21" s="174">
        <v>0</v>
      </c>
      <c r="Q21" s="175">
        <v>0</v>
      </c>
      <c r="R21" s="174">
        <f t="shared" si="1"/>
        <v>0.1</v>
      </c>
      <c r="S21" s="174">
        <f t="shared" si="2"/>
        <v>0.3</v>
      </c>
      <c r="T21" s="174">
        <f t="shared" si="3"/>
        <v>0.5</v>
      </c>
      <c r="U21" s="174">
        <f t="shared" si="4"/>
        <v>1</v>
      </c>
      <c r="V21" s="175">
        <f t="shared" si="5"/>
        <v>1.2</v>
      </c>
    </row>
    <row r="22" spans="2:22">
      <c r="B22" s="170" t="s">
        <v>259</v>
      </c>
      <c r="C22" s="174">
        <v>0.1</v>
      </c>
      <c r="D22" s="174">
        <v>0.3</v>
      </c>
      <c r="E22" s="174">
        <v>0.4</v>
      </c>
      <c r="F22" s="174">
        <v>0.7</v>
      </c>
      <c r="G22" s="175">
        <v>0.9</v>
      </c>
      <c r="M22" s="200">
        <v>0</v>
      </c>
      <c r="N22" s="174">
        <v>0.2</v>
      </c>
      <c r="O22" s="174">
        <v>0.3</v>
      </c>
      <c r="P22" s="174">
        <v>0.4</v>
      </c>
      <c r="Q22" s="175">
        <v>0.5</v>
      </c>
      <c r="R22" s="174">
        <f t="shared" si="1"/>
        <v>0.1</v>
      </c>
      <c r="S22" s="174">
        <f t="shared" si="2"/>
        <v>0.5</v>
      </c>
      <c r="T22" s="174">
        <f t="shared" si="3"/>
        <v>0.7</v>
      </c>
      <c r="U22" s="174">
        <f t="shared" si="4"/>
        <v>1.1000000000000001</v>
      </c>
      <c r="V22" s="175">
        <f t="shared" si="5"/>
        <v>1.4</v>
      </c>
    </row>
    <row r="23" spans="2:22">
      <c r="B23" s="170" t="s">
        <v>117</v>
      </c>
      <c r="C23" s="174">
        <v>0.7</v>
      </c>
      <c r="D23" s="174">
        <v>1.9</v>
      </c>
      <c r="E23" s="174">
        <v>2.6</v>
      </c>
      <c r="F23" s="174">
        <v>3.7</v>
      </c>
      <c r="G23" s="175">
        <v>4.7</v>
      </c>
      <c r="M23" s="200">
        <v>0</v>
      </c>
      <c r="N23" s="174">
        <v>0.2</v>
      </c>
      <c r="O23" s="174">
        <v>0.2</v>
      </c>
      <c r="P23" s="174">
        <v>0.3</v>
      </c>
      <c r="Q23" s="175">
        <v>0.4</v>
      </c>
      <c r="R23" s="174">
        <f t="shared" si="1"/>
        <v>0.7</v>
      </c>
      <c r="S23" s="174">
        <f t="shared" si="2"/>
        <v>2.1</v>
      </c>
      <c r="T23" s="174">
        <f t="shared" si="3"/>
        <v>2.8000000000000003</v>
      </c>
      <c r="U23" s="174">
        <f t="shared" si="4"/>
        <v>4</v>
      </c>
      <c r="V23" s="175">
        <f t="shared" si="5"/>
        <v>5.1000000000000005</v>
      </c>
    </row>
    <row r="24" spans="2:22">
      <c r="B24" s="170" t="s">
        <v>119</v>
      </c>
      <c r="C24" s="174">
        <v>1.9</v>
      </c>
      <c r="D24" s="174">
        <v>4.8</v>
      </c>
      <c r="E24" s="174">
        <v>6.7</v>
      </c>
      <c r="F24" s="174">
        <v>13.2</v>
      </c>
      <c r="G24" s="175">
        <v>16.7</v>
      </c>
      <c r="M24" s="200">
        <v>1.2</v>
      </c>
      <c r="N24" s="174">
        <v>7.6</v>
      </c>
      <c r="O24" s="174">
        <v>11.4</v>
      </c>
      <c r="P24" s="174">
        <v>14.5</v>
      </c>
      <c r="Q24" s="175">
        <v>17</v>
      </c>
      <c r="R24" s="174">
        <f t="shared" si="1"/>
        <v>3.0999999999999996</v>
      </c>
      <c r="S24" s="174">
        <f t="shared" si="2"/>
        <v>12.399999999999999</v>
      </c>
      <c r="T24" s="174">
        <f t="shared" si="3"/>
        <v>18.100000000000001</v>
      </c>
      <c r="U24" s="174">
        <f t="shared" si="4"/>
        <v>27.7</v>
      </c>
      <c r="V24" s="175">
        <f t="shared" si="5"/>
        <v>33.700000000000003</v>
      </c>
    </row>
    <row r="25" spans="2:22">
      <c r="B25" s="170" t="s">
        <v>113</v>
      </c>
      <c r="C25" s="174">
        <v>33</v>
      </c>
      <c r="D25" s="174">
        <v>45</v>
      </c>
      <c r="E25" s="174">
        <v>44.9</v>
      </c>
      <c r="F25" s="174">
        <v>63.5</v>
      </c>
      <c r="G25" s="175">
        <v>72.8</v>
      </c>
      <c r="M25" s="200">
        <v>0.4</v>
      </c>
      <c r="N25" s="174">
        <v>2.2000000000000002</v>
      </c>
      <c r="O25" s="174">
        <v>3</v>
      </c>
      <c r="P25" s="174">
        <v>3.8</v>
      </c>
      <c r="Q25" s="175">
        <v>4.4000000000000004</v>
      </c>
      <c r="R25" s="174">
        <f t="shared" si="1"/>
        <v>33.4</v>
      </c>
      <c r="S25" s="174">
        <f t="shared" si="2"/>
        <v>47.2</v>
      </c>
      <c r="T25" s="174">
        <f t="shared" si="3"/>
        <v>47.9</v>
      </c>
      <c r="U25" s="174">
        <f t="shared" si="4"/>
        <v>67.3</v>
      </c>
      <c r="V25" s="175">
        <f t="shared" si="5"/>
        <v>77.2</v>
      </c>
    </row>
    <row r="26" spans="2:22">
      <c r="B26" s="170" t="s">
        <v>123</v>
      </c>
      <c r="C26" s="174">
        <v>2.4</v>
      </c>
      <c r="D26" s="174">
        <v>6.5</v>
      </c>
      <c r="E26" s="174">
        <v>10.1</v>
      </c>
      <c r="F26" s="174">
        <v>16.7</v>
      </c>
      <c r="G26" s="175">
        <v>19.3</v>
      </c>
      <c r="M26" s="200">
        <v>0.6</v>
      </c>
      <c r="N26" s="174">
        <v>3.3</v>
      </c>
      <c r="O26" s="174">
        <v>5</v>
      </c>
      <c r="P26" s="174">
        <v>6.3</v>
      </c>
      <c r="Q26" s="175">
        <v>7.4</v>
      </c>
      <c r="R26" s="174">
        <f t="shared" si="1"/>
        <v>3</v>
      </c>
      <c r="S26" s="174">
        <f t="shared" si="2"/>
        <v>9.8000000000000007</v>
      </c>
      <c r="T26" s="174">
        <f t="shared" si="3"/>
        <v>15.1</v>
      </c>
      <c r="U26" s="174">
        <f t="shared" si="4"/>
        <v>23</v>
      </c>
      <c r="V26" s="175">
        <f t="shared" si="5"/>
        <v>26.700000000000003</v>
      </c>
    </row>
    <row r="27" spans="2:22">
      <c r="B27" s="170" t="s">
        <v>125</v>
      </c>
      <c r="C27" s="174">
        <v>1</v>
      </c>
      <c r="D27" s="174">
        <v>2.8</v>
      </c>
      <c r="E27" s="174">
        <v>3.9</v>
      </c>
      <c r="F27" s="174">
        <v>6.3</v>
      </c>
      <c r="G27" s="175">
        <v>7</v>
      </c>
      <c r="M27" s="200">
        <v>0.1</v>
      </c>
      <c r="N27" s="174">
        <v>0.3</v>
      </c>
      <c r="O27" s="174">
        <v>0.3</v>
      </c>
      <c r="P27" s="174">
        <v>0.4</v>
      </c>
      <c r="Q27" s="175">
        <v>0.5</v>
      </c>
      <c r="R27" s="174">
        <f t="shared" si="1"/>
        <v>1.1000000000000001</v>
      </c>
      <c r="S27" s="174">
        <f t="shared" si="2"/>
        <v>3.0999999999999996</v>
      </c>
      <c r="T27" s="174">
        <f t="shared" si="3"/>
        <v>4.2</v>
      </c>
      <c r="U27" s="174">
        <f t="shared" si="4"/>
        <v>6.7</v>
      </c>
      <c r="V27" s="175">
        <f t="shared" si="5"/>
        <v>7.5</v>
      </c>
    </row>
    <row r="28" spans="2:22">
      <c r="B28" s="170" t="s">
        <v>129</v>
      </c>
      <c r="C28" s="174">
        <v>1.3</v>
      </c>
      <c r="D28" s="174">
        <v>3.2</v>
      </c>
      <c r="E28" s="174">
        <v>4.5</v>
      </c>
      <c r="F28" s="174">
        <v>8</v>
      </c>
      <c r="G28" s="175">
        <v>11.6</v>
      </c>
      <c r="M28" s="200">
        <v>0.1</v>
      </c>
      <c r="N28" s="174">
        <v>0.4</v>
      </c>
      <c r="O28" s="174">
        <v>0.4</v>
      </c>
      <c r="P28" s="174">
        <v>0.4</v>
      </c>
      <c r="Q28" s="175">
        <v>0.5</v>
      </c>
      <c r="R28" s="174">
        <f t="shared" si="1"/>
        <v>1.4000000000000001</v>
      </c>
      <c r="S28" s="174">
        <f t="shared" si="2"/>
        <v>3.6</v>
      </c>
      <c r="T28" s="174">
        <f t="shared" si="3"/>
        <v>4.9000000000000004</v>
      </c>
      <c r="U28" s="174">
        <f t="shared" si="4"/>
        <v>8.4</v>
      </c>
      <c r="V28" s="175">
        <f t="shared" si="5"/>
        <v>12.1</v>
      </c>
    </row>
    <row r="29" spans="2:22">
      <c r="B29" s="170" t="s">
        <v>288</v>
      </c>
      <c r="C29" s="174">
        <v>0.6</v>
      </c>
      <c r="D29" s="174">
        <v>1.7</v>
      </c>
      <c r="E29" s="174">
        <v>2.7</v>
      </c>
      <c r="F29" s="174">
        <v>4.2</v>
      </c>
      <c r="G29" s="175">
        <v>4.7</v>
      </c>
      <c r="M29" s="200">
        <v>0.1</v>
      </c>
      <c r="N29" s="174">
        <v>0.5</v>
      </c>
      <c r="O29" s="174">
        <v>0.8</v>
      </c>
      <c r="P29" s="174">
        <v>1</v>
      </c>
      <c r="Q29" s="175">
        <v>1.2</v>
      </c>
      <c r="R29" s="174">
        <f t="shared" si="1"/>
        <v>0.7</v>
      </c>
      <c r="S29" s="174">
        <f t="shared" si="2"/>
        <v>2.2000000000000002</v>
      </c>
      <c r="T29" s="174">
        <f t="shared" si="3"/>
        <v>3.5</v>
      </c>
      <c r="U29" s="174">
        <f t="shared" si="4"/>
        <v>5.2</v>
      </c>
      <c r="V29" s="175">
        <f t="shared" si="5"/>
        <v>5.9</v>
      </c>
    </row>
    <row r="30" spans="2:22">
      <c r="B30" s="170" t="s">
        <v>301</v>
      </c>
      <c r="C30" s="174">
        <v>1.5</v>
      </c>
      <c r="D30" s="174">
        <v>3.5</v>
      </c>
      <c r="E30" s="174">
        <v>5.3</v>
      </c>
      <c r="F30" s="174">
        <v>8.6999999999999993</v>
      </c>
      <c r="G30" s="175">
        <v>11.3</v>
      </c>
      <c r="M30" s="200">
        <v>0.9</v>
      </c>
      <c r="N30" s="174">
        <v>5.4</v>
      </c>
      <c r="O30" s="174">
        <v>8.1</v>
      </c>
      <c r="P30" s="174">
        <v>10.3</v>
      </c>
      <c r="Q30" s="175">
        <v>12</v>
      </c>
      <c r="R30" s="174">
        <f t="shared" si="1"/>
        <v>2.4</v>
      </c>
      <c r="S30" s="174">
        <f t="shared" si="2"/>
        <v>8.9</v>
      </c>
      <c r="T30" s="174">
        <f t="shared" si="3"/>
        <v>13.399999999999999</v>
      </c>
      <c r="U30" s="174">
        <f t="shared" si="4"/>
        <v>19</v>
      </c>
      <c r="V30" s="175">
        <f t="shared" si="5"/>
        <v>23.3</v>
      </c>
    </row>
    <row r="31" spans="2:22">
      <c r="B31" s="170" t="s">
        <v>131</v>
      </c>
      <c r="C31" s="174">
        <v>0.7</v>
      </c>
      <c r="D31" s="174">
        <v>1.4</v>
      </c>
      <c r="E31" s="174">
        <v>1.7</v>
      </c>
      <c r="F31" s="174">
        <v>3.1</v>
      </c>
      <c r="G31" s="175">
        <v>4.3</v>
      </c>
      <c r="M31" s="200">
        <v>0.4</v>
      </c>
      <c r="N31" s="174">
        <v>2.9</v>
      </c>
      <c r="O31" s="174">
        <v>4.4000000000000004</v>
      </c>
      <c r="P31" s="174">
        <v>5.6</v>
      </c>
      <c r="Q31" s="175">
        <v>6.5</v>
      </c>
      <c r="R31" s="174">
        <f t="shared" si="1"/>
        <v>1.1000000000000001</v>
      </c>
      <c r="S31" s="174">
        <f t="shared" si="2"/>
        <v>4.3</v>
      </c>
      <c r="T31" s="174">
        <f t="shared" si="3"/>
        <v>6.1000000000000005</v>
      </c>
      <c r="U31" s="174">
        <f t="shared" si="4"/>
        <v>8.6999999999999993</v>
      </c>
      <c r="V31" s="175">
        <f t="shared" si="5"/>
        <v>10.8</v>
      </c>
    </row>
    <row r="32" spans="2:22">
      <c r="B32" s="171" t="s">
        <v>367</v>
      </c>
      <c r="C32" s="174">
        <v>2</v>
      </c>
      <c r="D32" s="174">
        <v>3.9</v>
      </c>
      <c r="E32" s="174">
        <v>5.5</v>
      </c>
      <c r="F32" s="174">
        <v>9.6999999999999993</v>
      </c>
      <c r="G32" s="175">
        <v>13.6</v>
      </c>
      <c r="M32" s="200">
        <v>0.3</v>
      </c>
      <c r="N32" s="174">
        <v>1.7</v>
      </c>
      <c r="O32" s="174">
        <v>2.4</v>
      </c>
      <c r="P32" s="174">
        <v>3.1</v>
      </c>
      <c r="Q32" s="175">
        <v>3.6</v>
      </c>
      <c r="R32" s="174">
        <f t="shared" si="1"/>
        <v>2.2999999999999998</v>
      </c>
      <c r="S32" s="174">
        <f t="shared" si="2"/>
        <v>5.6</v>
      </c>
      <c r="T32" s="174">
        <f t="shared" si="3"/>
        <v>7.9</v>
      </c>
      <c r="U32" s="174">
        <f t="shared" si="4"/>
        <v>12.799999999999999</v>
      </c>
      <c r="V32" s="175">
        <f t="shared" si="5"/>
        <v>17.2</v>
      </c>
    </row>
    <row r="33" spans="2:22">
      <c r="B33" s="193" t="s">
        <v>243</v>
      </c>
      <c r="C33" s="194">
        <v>0.2</v>
      </c>
      <c r="D33" s="194">
        <v>0.6</v>
      </c>
      <c r="E33" s="194">
        <v>0.9</v>
      </c>
      <c r="F33" s="194">
        <v>1.4</v>
      </c>
      <c r="G33" s="195">
        <v>1.7</v>
      </c>
      <c r="H33" s="138"/>
      <c r="I33" s="138"/>
      <c r="J33" s="138"/>
      <c r="K33" s="138"/>
      <c r="L33" s="138"/>
      <c r="M33" s="201">
        <v>0</v>
      </c>
      <c r="N33" s="194">
        <v>0.1</v>
      </c>
      <c r="O33" s="194">
        <v>0.1</v>
      </c>
      <c r="P33" s="194">
        <v>0.1</v>
      </c>
      <c r="Q33" s="195">
        <v>0.1</v>
      </c>
      <c r="R33" s="194">
        <f t="shared" si="1"/>
        <v>0.2</v>
      </c>
      <c r="S33" s="194">
        <f t="shared" si="2"/>
        <v>0.7</v>
      </c>
      <c r="T33" s="194">
        <f t="shared" si="3"/>
        <v>1</v>
      </c>
      <c r="U33" s="194">
        <f t="shared" si="4"/>
        <v>1.5</v>
      </c>
      <c r="V33" s="195">
        <f t="shared" si="5"/>
        <v>1.8</v>
      </c>
    </row>
    <row r="34" spans="2:22" s="87" customFormat="1">
      <c r="B34" s="182" t="s">
        <v>46</v>
      </c>
      <c r="C34" s="191">
        <v>107.5</v>
      </c>
      <c r="D34" s="191">
        <v>313.60000000000002</v>
      </c>
      <c r="E34" s="191">
        <v>591</v>
      </c>
      <c r="F34" s="191">
        <v>1052.2</v>
      </c>
      <c r="G34" s="192">
        <v>1354.7</v>
      </c>
      <c r="M34" s="199">
        <v>5.0999999999999996</v>
      </c>
      <c r="N34" s="191">
        <v>29.7</v>
      </c>
      <c r="O34" s="191">
        <v>44</v>
      </c>
      <c r="P34" s="191">
        <v>55.7</v>
      </c>
      <c r="Q34" s="192">
        <v>65</v>
      </c>
      <c r="R34" s="191">
        <f t="shared" si="1"/>
        <v>112.6</v>
      </c>
      <c r="S34" s="191">
        <f t="shared" si="2"/>
        <v>343.3</v>
      </c>
      <c r="T34" s="191">
        <f t="shared" si="3"/>
        <v>635</v>
      </c>
      <c r="U34" s="191">
        <f t="shared" si="4"/>
        <v>1107.9000000000001</v>
      </c>
      <c r="V34" s="192">
        <f t="shared" si="5"/>
        <v>1419.7</v>
      </c>
    </row>
    <row r="35" spans="2:22">
      <c r="B35" s="170" t="s">
        <v>101</v>
      </c>
      <c r="C35" s="174">
        <v>2.4</v>
      </c>
      <c r="D35" s="174">
        <v>8.1999999999999993</v>
      </c>
      <c r="E35" s="174">
        <v>14.9</v>
      </c>
      <c r="F35" s="174">
        <v>23.7</v>
      </c>
      <c r="G35" s="175">
        <v>29.5</v>
      </c>
      <c r="M35" s="200">
        <v>0</v>
      </c>
      <c r="N35" s="174">
        <v>0.1</v>
      </c>
      <c r="O35" s="174">
        <v>0.1</v>
      </c>
      <c r="P35" s="174">
        <v>0.1</v>
      </c>
      <c r="Q35" s="175">
        <v>0.1</v>
      </c>
      <c r="R35" s="174">
        <f t="shared" si="1"/>
        <v>2.4</v>
      </c>
      <c r="S35" s="174">
        <f t="shared" si="2"/>
        <v>8.2999999999999989</v>
      </c>
      <c r="T35" s="174">
        <f t="shared" si="3"/>
        <v>15</v>
      </c>
      <c r="U35" s="174">
        <f t="shared" si="4"/>
        <v>23.8</v>
      </c>
      <c r="V35" s="175">
        <f t="shared" si="5"/>
        <v>29.6</v>
      </c>
    </row>
    <row r="36" spans="2:22">
      <c r="B36" s="170" t="s">
        <v>146</v>
      </c>
      <c r="C36" s="174">
        <v>6.5</v>
      </c>
      <c r="D36" s="174">
        <v>20.3</v>
      </c>
      <c r="E36" s="174">
        <v>43.1</v>
      </c>
      <c r="F36" s="174">
        <v>79.7</v>
      </c>
      <c r="G36" s="175">
        <v>108.8</v>
      </c>
      <c r="M36" s="200">
        <v>0</v>
      </c>
      <c r="N36" s="174">
        <v>0.1</v>
      </c>
      <c r="O36" s="174">
        <v>0.1</v>
      </c>
      <c r="P36" s="174">
        <v>0</v>
      </c>
      <c r="Q36" s="175">
        <v>0</v>
      </c>
      <c r="R36" s="174">
        <f t="shared" si="1"/>
        <v>6.5</v>
      </c>
      <c r="S36" s="174">
        <f t="shared" si="2"/>
        <v>20.400000000000002</v>
      </c>
      <c r="T36" s="174">
        <f t="shared" si="3"/>
        <v>43.2</v>
      </c>
      <c r="U36" s="174">
        <f t="shared" si="4"/>
        <v>79.7</v>
      </c>
      <c r="V36" s="175">
        <f t="shared" si="5"/>
        <v>108.8</v>
      </c>
    </row>
    <row r="37" spans="2:22">
      <c r="B37" s="170" t="s">
        <v>261</v>
      </c>
      <c r="C37" s="174">
        <v>0.1</v>
      </c>
      <c r="D37" s="174">
        <v>0.2</v>
      </c>
      <c r="E37" s="174">
        <v>0.3</v>
      </c>
      <c r="F37" s="174">
        <v>0.6</v>
      </c>
      <c r="G37" s="175">
        <v>0.8</v>
      </c>
      <c r="M37" s="200">
        <v>0</v>
      </c>
      <c r="N37" s="174">
        <v>0</v>
      </c>
      <c r="O37" s="174">
        <v>0</v>
      </c>
      <c r="P37" s="174">
        <v>0</v>
      </c>
      <c r="Q37" s="175">
        <v>0</v>
      </c>
      <c r="R37" s="174">
        <f t="shared" si="1"/>
        <v>0.1</v>
      </c>
      <c r="S37" s="174">
        <f t="shared" si="2"/>
        <v>0.2</v>
      </c>
      <c r="T37" s="174">
        <f t="shared" si="3"/>
        <v>0.3</v>
      </c>
      <c r="U37" s="174">
        <f t="shared" si="4"/>
        <v>0.6</v>
      </c>
      <c r="V37" s="175">
        <f t="shared" si="5"/>
        <v>0.8</v>
      </c>
    </row>
    <row r="38" spans="2:22">
      <c r="B38" s="170" t="s">
        <v>356</v>
      </c>
      <c r="C38" s="174">
        <v>0.6</v>
      </c>
      <c r="D38" s="174">
        <v>1.9</v>
      </c>
      <c r="E38" s="174">
        <v>3.7</v>
      </c>
      <c r="F38" s="174">
        <v>7.1</v>
      </c>
      <c r="G38" s="175">
        <v>9.6999999999999993</v>
      </c>
      <c r="M38" s="200">
        <v>0</v>
      </c>
      <c r="N38" s="174">
        <v>0.1</v>
      </c>
      <c r="O38" s="174">
        <v>0.1</v>
      </c>
      <c r="P38" s="174">
        <v>0.1</v>
      </c>
      <c r="Q38" s="175">
        <v>0.1</v>
      </c>
      <c r="R38" s="174">
        <f t="shared" si="1"/>
        <v>0.6</v>
      </c>
      <c r="S38" s="174">
        <f t="shared" si="2"/>
        <v>2</v>
      </c>
      <c r="T38" s="174">
        <f t="shared" si="3"/>
        <v>3.8000000000000003</v>
      </c>
      <c r="U38" s="174">
        <f t="shared" si="4"/>
        <v>7.1999999999999993</v>
      </c>
      <c r="V38" s="175">
        <f t="shared" si="5"/>
        <v>9.7999999999999989</v>
      </c>
    </row>
    <row r="39" spans="2:22">
      <c r="B39" s="170" t="s">
        <v>361</v>
      </c>
      <c r="C39" s="174">
        <v>0.4</v>
      </c>
      <c r="D39" s="174">
        <v>1</v>
      </c>
      <c r="E39" s="174">
        <v>1.9</v>
      </c>
      <c r="F39" s="174">
        <v>2.8</v>
      </c>
      <c r="G39" s="175">
        <v>3.6</v>
      </c>
      <c r="M39" s="200">
        <v>0</v>
      </c>
      <c r="N39" s="174">
        <v>0.1</v>
      </c>
      <c r="O39" s="174">
        <v>0.2</v>
      </c>
      <c r="P39" s="174">
        <v>0.2</v>
      </c>
      <c r="Q39" s="175">
        <v>0.2</v>
      </c>
      <c r="R39" s="174">
        <f t="shared" si="1"/>
        <v>0.4</v>
      </c>
      <c r="S39" s="174">
        <f t="shared" si="2"/>
        <v>1.1000000000000001</v>
      </c>
      <c r="T39" s="174">
        <f t="shared" si="3"/>
        <v>2.1</v>
      </c>
      <c r="U39" s="174">
        <f t="shared" si="4"/>
        <v>3</v>
      </c>
      <c r="V39" s="175">
        <f t="shared" si="5"/>
        <v>3.8000000000000003</v>
      </c>
    </row>
    <row r="40" spans="2:22">
      <c r="B40" s="170" t="s">
        <v>153</v>
      </c>
      <c r="C40" s="174">
        <v>0</v>
      </c>
      <c r="D40" s="174">
        <v>0</v>
      </c>
      <c r="E40" s="174">
        <v>0.1</v>
      </c>
      <c r="F40" s="174">
        <v>0.4</v>
      </c>
      <c r="G40" s="175">
        <v>0.6</v>
      </c>
      <c r="M40" s="200">
        <v>0.1</v>
      </c>
      <c r="N40" s="174">
        <v>0.6</v>
      </c>
      <c r="O40" s="174">
        <v>0.9</v>
      </c>
      <c r="P40" s="174">
        <v>1.2</v>
      </c>
      <c r="Q40" s="175">
        <v>1.4</v>
      </c>
      <c r="R40" s="174">
        <f t="shared" si="1"/>
        <v>0.1</v>
      </c>
      <c r="S40" s="174">
        <f t="shared" si="2"/>
        <v>0.6</v>
      </c>
      <c r="T40" s="174">
        <f t="shared" si="3"/>
        <v>1</v>
      </c>
      <c r="U40" s="174">
        <f t="shared" si="4"/>
        <v>1.6</v>
      </c>
      <c r="V40" s="175">
        <f t="shared" si="5"/>
        <v>2</v>
      </c>
    </row>
    <row r="41" spans="2:22">
      <c r="B41" s="170" t="s">
        <v>227</v>
      </c>
      <c r="C41" s="174">
        <v>0.8</v>
      </c>
      <c r="D41" s="174">
        <v>2.4</v>
      </c>
      <c r="E41" s="174">
        <v>4.9000000000000004</v>
      </c>
      <c r="F41" s="174">
        <v>8.6999999999999993</v>
      </c>
      <c r="G41" s="175">
        <v>10.9</v>
      </c>
      <c r="M41" s="200">
        <v>0.1</v>
      </c>
      <c r="N41" s="174">
        <v>1</v>
      </c>
      <c r="O41" s="174">
        <v>1.5</v>
      </c>
      <c r="P41" s="174">
        <v>2</v>
      </c>
      <c r="Q41" s="175">
        <v>2.2999999999999998</v>
      </c>
      <c r="R41" s="174">
        <f t="shared" si="1"/>
        <v>0.9</v>
      </c>
      <c r="S41" s="174">
        <f t="shared" si="2"/>
        <v>3.4</v>
      </c>
      <c r="T41" s="174">
        <f t="shared" si="3"/>
        <v>6.4</v>
      </c>
      <c r="U41" s="174">
        <f t="shared" si="4"/>
        <v>10.7</v>
      </c>
      <c r="V41" s="175">
        <f t="shared" si="5"/>
        <v>13.2</v>
      </c>
    </row>
    <row r="42" spans="2:22">
      <c r="B42" s="170" t="s">
        <v>236</v>
      </c>
      <c r="C42" s="174">
        <v>2.1</v>
      </c>
      <c r="D42" s="174">
        <v>6.2</v>
      </c>
      <c r="E42" s="174">
        <v>12.2</v>
      </c>
      <c r="F42" s="174">
        <v>22.2</v>
      </c>
      <c r="G42" s="175">
        <v>29.9</v>
      </c>
      <c r="M42" s="200">
        <v>0</v>
      </c>
      <c r="N42" s="174">
        <v>0</v>
      </c>
      <c r="O42" s="174">
        <v>0</v>
      </c>
      <c r="P42" s="174">
        <v>0</v>
      </c>
      <c r="Q42" s="175">
        <v>0</v>
      </c>
      <c r="R42" s="174">
        <f t="shared" si="1"/>
        <v>2.1</v>
      </c>
      <c r="S42" s="174">
        <f t="shared" si="2"/>
        <v>6.2</v>
      </c>
      <c r="T42" s="174">
        <f t="shared" si="3"/>
        <v>12.2</v>
      </c>
      <c r="U42" s="174">
        <f t="shared" si="4"/>
        <v>22.2</v>
      </c>
      <c r="V42" s="175">
        <f t="shared" si="5"/>
        <v>29.9</v>
      </c>
    </row>
    <row r="43" spans="2:22">
      <c r="B43" s="170" t="s">
        <v>263</v>
      </c>
      <c r="C43" s="174">
        <v>0</v>
      </c>
      <c r="D43" s="174">
        <v>0</v>
      </c>
      <c r="E43" s="174">
        <v>0</v>
      </c>
      <c r="F43" s="174">
        <v>0</v>
      </c>
      <c r="G43" s="175">
        <v>0</v>
      </c>
      <c r="M43" s="200">
        <v>0</v>
      </c>
      <c r="N43" s="174">
        <v>0</v>
      </c>
      <c r="O43" s="174">
        <v>0</v>
      </c>
      <c r="P43" s="174">
        <v>0</v>
      </c>
      <c r="Q43" s="175">
        <v>0</v>
      </c>
      <c r="R43" s="174">
        <f t="shared" si="1"/>
        <v>0</v>
      </c>
      <c r="S43" s="174">
        <f t="shared" si="2"/>
        <v>0</v>
      </c>
      <c r="T43" s="174">
        <f t="shared" si="3"/>
        <v>0</v>
      </c>
      <c r="U43" s="174">
        <f t="shared" si="4"/>
        <v>0</v>
      </c>
      <c r="V43" s="175">
        <f t="shared" si="5"/>
        <v>0</v>
      </c>
    </row>
    <row r="44" spans="2:22">
      <c r="B44" s="170" t="s">
        <v>295</v>
      </c>
      <c r="C44" s="174">
        <v>1.8</v>
      </c>
      <c r="D44" s="174">
        <v>6.4</v>
      </c>
      <c r="E44" s="174">
        <v>11.4</v>
      </c>
      <c r="F44" s="174">
        <v>17.7</v>
      </c>
      <c r="G44" s="175">
        <v>21.8</v>
      </c>
      <c r="M44" s="200">
        <v>0</v>
      </c>
      <c r="N44" s="174">
        <v>0.1</v>
      </c>
      <c r="O44" s="174">
        <v>0.2</v>
      </c>
      <c r="P44" s="174">
        <v>0.2</v>
      </c>
      <c r="Q44" s="175">
        <v>0.3</v>
      </c>
      <c r="R44" s="174">
        <f t="shared" si="1"/>
        <v>1.8</v>
      </c>
      <c r="S44" s="174">
        <f t="shared" si="2"/>
        <v>6.5</v>
      </c>
      <c r="T44" s="174">
        <f t="shared" si="3"/>
        <v>11.6</v>
      </c>
      <c r="U44" s="174">
        <f t="shared" si="4"/>
        <v>17.899999999999999</v>
      </c>
      <c r="V44" s="175">
        <f t="shared" si="5"/>
        <v>22.1</v>
      </c>
    </row>
    <row r="45" spans="2:22">
      <c r="B45" s="170" t="s">
        <v>298</v>
      </c>
      <c r="C45" s="174">
        <v>0.3</v>
      </c>
      <c r="D45" s="174">
        <v>0.9</v>
      </c>
      <c r="E45" s="174">
        <v>1.4</v>
      </c>
      <c r="F45" s="174">
        <v>2</v>
      </c>
      <c r="G45" s="175">
        <v>2.2000000000000002</v>
      </c>
      <c r="M45" s="200">
        <v>0</v>
      </c>
      <c r="N45" s="174">
        <v>0.1</v>
      </c>
      <c r="O45" s="174">
        <v>0.1</v>
      </c>
      <c r="P45" s="174">
        <v>0.1</v>
      </c>
      <c r="Q45" s="175">
        <v>0.1</v>
      </c>
      <c r="R45" s="174">
        <f t="shared" si="1"/>
        <v>0.3</v>
      </c>
      <c r="S45" s="174">
        <f t="shared" si="2"/>
        <v>1</v>
      </c>
      <c r="T45" s="174">
        <f t="shared" si="3"/>
        <v>1.5</v>
      </c>
      <c r="U45" s="174">
        <f t="shared" si="4"/>
        <v>2.1</v>
      </c>
      <c r="V45" s="175">
        <f t="shared" si="5"/>
        <v>2.3000000000000003</v>
      </c>
    </row>
    <row r="46" spans="2:22">
      <c r="B46" s="170" t="s">
        <v>347</v>
      </c>
      <c r="C46" s="174">
        <v>1.5</v>
      </c>
      <c r="D46" s="174">
        <v>5.4</v>
      </c>
      <c r="E46" s="174">
        <v>10.5</v>
      </c>
      <c r="F46" s="174">
        <v>19.3</v>
      </c>
      <c r="G46" s="175">
        <v>27.1</v>
      </c>
      <c r="M46" s="200">
        <v>0</v>
      </c>
      <c r="N46" s="174">
        <v>0.1</v>
      </c>
      <c r="O46" s="174">
        <v>0.1</v>
      </c>
      <c r="P46" s="174">
        <v>0.1</v>
      </c>
      <c r="Q46" s="175">
        <v>0.2</v>
      </c>
      <c r="R46" s="174">
        <f t="shared" si="1"/>
        <v>1.5</v>
      </c>
      <c r="S46" s="174">
        <f t="shared" si="2"/>
        <v>5.5</v>
      </c>
      <c r="T46" s="174">
        <f t="shared" si="3"/>
        <v>10.6</v>
      </c>
      <c r="U46" s="174">
        <f t="shared" si="4"/>
        <v>19.400000000000002</v>
      </c>
      <c r="V46" s="175">
        <f t="shared" si="5"/>
        <v>27.3</v>
      </c>
    </row>
    <row r="47" spans="2:22">
      <c r="B47" s="170" t="s">
        <v>111</v>
      </c>
      <c r="C47" s="174">
        <v>2.8</v>
      </c>
      <c r="D47" s="174">
        <v>9.1999999999999993</v>
      </c>
      <c r="E47" s="174">
        <v>17.5</v>
      </c>
      <c r="F47" s="174">
        <v>30.1</v>
      </c>
      <c r="G47" s="175">
        <v>38.799999999999997</v>
      </c>
      <c r="M47" s="200">
        <v>0</v>
      </c>
      <c r="N47" s="174">
        <v>0</v>
      </c>
      <c r="O47" s="174">
        <v>0</v>
      </c>
      <c r="P47" s="174">
        <v>0</v>
      </c>
      <c r="Q47" s="175">
        <v>0</v>
      </c>
      <c r="R47" s="174">
        <f t="shared" si="1"/>
        <v>2.8</v>
      </c>
      <c r="S47" s="174">
        <f t="shared" si="2"/>
        <v>9.1999999999999993</v>
      </c>
      <c r="T47" s="174">
        <f t="shared" si="3"/>
        <v>17.5</v>
      </c>
      <c r="U47" s="174">
        <f t="shared" si="4"/>
        <v>30.1</v>
      </c>
      <c r="V47" s="175">
        <f t="shared" si="5"/>
        <v>38.799999999999997</v>
      </c>
    </row>
    <row r="48" spans="2:22">
      <c r="B48" s="170" t="s">
        <v>115</v>
      </c>
      <c r="C48" s="174">
        <v>0.5</v>
      </c>
      <c r="D48" s="174">
        <v>1.3</v>
      </c>
      <c r="E48" s="174">
        <v>1.9</v>
      </c>
      <c r="F48" s="174">
        <v>3.2</v>
      </c>
      <c r="G48" s="175">
        <v>4.2</v>
      </c>
      <c r="M48" s="200">
        <v>0.4</v>
      </c>
      <c r="N48" s="174">
        <v>2.7</v>
      </c>
      <c r="O48" s="174">
        <v>4.2</v>
      </c>
      <c r="P48" s="174">
        <v>5.3</v>
      </c>
      <c r="Q48" s="175">
        <v>6.2</v>
      </c>
      <c r="R48" s="174">
        <f t="shared" si="1"/>
        <v>0.9</v>
      </c>
      <c r="S48" s="174">
        <f t="shared" si="2"/>
        <v>4</v>
      </c>
      <c r="T48" s="174">
        <f t="shared" si="3"/>
        <v>6.1</v>
      </c>
      <c r="U48" s="174">
        <f t="shared" si="4"/>
        <v>8.5</v>
      </c>
      <c r="V48" s="175">
        <f t="shared" si="5"/>
        <v>10.4</v>
      </c>
    </row>
    <row r="49" spans="2:22">
      <c r="B49" s="170" t="s">
        <v>160</v>
      </c>
      <c r="C49" s="174">
        <v>0.1</v>
      </c>
      <c r="D49" s="174">
        <v>0.3</v>
      </c>
      <c r="E49" s="174">
        <v>0.6</v>
      </c>
      <c r="F49" s="174">
        <v>0.9</v>
      </c>
      <c r="G49" s="175">
        <v>1.1000000000000001</v>
      </c>
      <c r="M49" s="200">
        <v>0</v>
      </c>
      <c r="N49" s="174">
        <v>0</v>
      </c>
      <c r="O49" s="174">
        <v>0</v>
      </c>
      <c r="P49" s="174">
        <v>0</v>
      </c>
      <c r="Q49" s="175">
        <v>0</v>
      </c>
      <c r="R49" s="174">
        <f t="shared" si="1"/>
        <v>0.1</v>
      </c>
      <c r="S49" s="174">
        <f t="shared" si="2"/>
        <v>0.3</v>
      </c>
      <c r="T49" s="174">
        <f t="shared" si="3"/>
        <v>0.6</v>
      </c>
      <c r="U49" s="174">
        <f t="shared" si="4"/>
        <v>0.9</v>
      </c>
      <c r="V49" s="175">
        <f t="shared" si="5"/>
        <v>1.1000000000000001</v>
      </c>
    </row>
    <row r="50" spans="2:22">
      <c r="B50" s="170" t="s">
        <v>256</v>
      </c>
      <c r="C50" s="174">
        <v>0.1</v>
      </c>
      <c r="D50" s="174">
        <v>0.3</v>
      </c>
      <c r="E50" s="174">
        <v>0.5</v>
      </c>
      <c r="F50" s="174">
        <v>1</v>
      </c>
      <c r="G50" s="175">
        <v>1.2</v>
      </c>
      <c r="M50" s="200">
        <v>0</v>
      </c>
      <c r="N50" s="174">
        <v>0</v>
      </c>
      <c r="O50" s="174">
        <v>0</v>
      </c>
      <c r="P50" s="174">
        <v>0</v>
      </c>
      <c r="Q50" s="175">
        <v>0</v>
      </c>
      <c r="R50" s="174">
        <f t="shared" si="1"/>
        <v>0.1</v>
      </c>
      <c r="S50" s="174">
        <f t="shared" si="2"/>
        <v>0.3</v>
      </c>
      <c r="T50" s="174">
        <f t="shared" si="3"/>
        <v>0.5</v>
      </c>
      <c r="U50" s="174">
        <f t="shared" si="4"/>
        <v>1</v>
      </c>
      <c r="V50" s="175">
        <f t="shared" si="5"/>
        <v>1.2</v>
      </c>
    </row>
    <row r="51" spans="2:22">
      <c r="B51" s="170" t="s">
        <v>259</v>
      </c>
      <c r="C51" s="174">
        <v>0.7</v>
      </c>
      <c r="D51" s="174">
        <v>2.4</v>
      </c>
      <c r="E51" s="174">
        <v>5.5</v>
      </c>
      <c r="F51" s="174">
        <v>9.1999999999999993</v>
      </c>
      <c r="G51" s="175">
        <v>12.7</v>
      </c>
      <c r="M51" s="200">
        <v>0</v>
      </c>
      <c r="N51" s="174">
        <v>0.2</v>
      </c>
      <c r="O51" s="174">
        <v>0.3</v>
      </c>
      <c r="P51" s="174">
        <v>0.4</v>
      </c>
      <c r="Q51" s="175">
        <v>0.5</v>
      </c>
      <c r="R51" s="174">
        <f t="shared" si="1"/>
        <v>0.7</v>
      </c>
      <c r="S51" s="174">
        <f t="shared" si="2"/>
        <v>2.6</v>
      </c>
      <c r="T51" s="174">
        <f t="shared" si="3"/>
        <v>5.8</v>
      </c>
      <c r="U51" s="174">
        <f t="shared" si="4"/>
        <v>9.6</v>
      </c>
      <c r="V51" s="175">
        <f t="shared" si="5"/>
        <v>13.2</v>
      </c>
    </row>
    <row r="52" spans="2:22">
      <c r="B52" s="170" t="s">
        <v>117</v>
      </c>
      <c r="C52" s="174">
        <v>1.7</v>
      </c>
      <c r="D52" s="174">
        <v>5.2</v>
      </c>
      <c r="E52" s="174">
        <v>10.1</v>
      </c>
      <c r="F52" s="174">
        <v>17.399999999999999</v>
      </c>
      <c r="G52" s="175">
        <v>23.2</v>
      </c>
      <c r="M52" s="200">
        <v>0</v>
      </c>
      <c r="N52" s="174">
        <v>0.2</v>
      </c>
      <c r="O52" s="174">
        <v>0.2</v>
      </c>
      <c r="P52" s="174">
        <v>0.3</v>
      </c>
      <c r="Q52" s="175">
        <v>0.4</v>
      </c>
      <c r="R52" s="174">
        <f t="shared" si="1"/>
        <v>1.7</v>
      </c>
      <c r="S52" s="174">
        <f t="shared" si="2"/>
        <v>5.4</v>
      </c>
      <c r="T52" s="174">
        <f t="shared" si="3"/>
        <v>10.299999999999999</v>
      </c>
      <c r="U52" s="174">
        <f t="shared" si="4"/>
        <v>17.7</v>
      </c>
      <c r="V52" s="175">
        <f t="shared" si="5"/>
        <v>23.599999999999998</v>
      </c>
    </row>
    <row r="53" spans="2:22">
      <c r="B53" s="170" t="s">
        <v>119</v>
      </c>
      <c r="C53" s="174">
        <v>9.8000000000000007</v>
      </c>
      <c r="D53" s="174">
        <v>30.1</v>
      </c>
      <c r="E53" s="174">
        <v>64.400000000000006</v>
      </c>
      <c r="F53" s="174">
        <v>119.9</v>
      </c>
      <c r="G53" s="175">
        <v>162.1</v>
      </c>
      <c r="M53" s="200">
        <v>1.2</v>
      </c>
      <c r="N53" s="174">
        <v>7.6</v>
      </c>
      <c r="O53" s="174">
        <v>11.4</v>
      </c>
      <c r="P53" s="174">
        <v>14.5</v>
      </c>
      <c r="Q53" s="175">
        <v>17</v>
      </c>
      <c r="R53" s="174">
        <f t="shared" si="1"/>
        <v>11</v>
      </c>
      <c r="S53" s="174">
        <f t="shared" si="2"/>
        <v>37.700000000000003</v>
      </c>
      <c r="T53" s="174">
        <f t="shared" si="3"/>
        <v>75.800000000000011</v>
      </c>
      <c r="U53" s="174">
        <f t="shared" si="4"/>
        <v>134.4</v>
      </c>
      <c r="V53" s="175">
        <f t="shared" si="5"/>
        <v>179.1</v>
      </c>
    </row>
    <row r="54" spans="2:22">
      <c r="B54" s="170" t="s">
        <v>113</v>
      </c>
      <c r="C54" s="174">
        <v>40.1</v>
      </c>
      <c r="D54" s="174">
        <v>104.2</v>
      </c>
      <c r="E54" s="174">
        <v>159.6</v>
      </c>
      <c r="F54" s="174">
        <v>275.7</v>
      </c>
      <c r="G54" s="175">
        <v>312.8</v>
      </c>
      <c r="M54" s="200">
        <v>0.4</v>
      </c>
      <c r="N54" s="174">
        <v>2.2000000000000002</v>
      </c>
      <c r="O54" s="174">
        <v>3</v>
      </c>
      <c r="P54" s="174">
        <v>3.8</v>
      </c>
      <c r="Q54" s="175">
        <v>4.4000000000000004</v>
      </c>
      <c r="R54" s="174">
        <f t="shared" si="1"/>
        <v>40.5</v>
      </c>
      <c r="S54" s="174">
        <f t="shared" si="2"/>
        <v>106.4</v>
      </c>
      <c r="T54" s="174">
        <f t="shared" si="3"/>
        <v>162.6</v>
      </c>
      <c r="U54" s="174">
        <f t="shared" si="4"/>
        <v>279.5</v>
      </c>
      <c r="V54" s="175">
        <f t="shared" si="5"/>
        <v>317.2</v>
      </c>
    </row>
    <row r="55" spans="2:22">
      <c r="B55" s="170" t="s">
        <v>123</v>
      </c>
      <c r="C55" s="174">
        <v>6.6</v>
      </c>
      <c r="D55" s="174">
        <v>20.8</v>
      </c>
      <c r="E55" s="174">
        <v>43.5</v>
      </c>
      <c r="F55" s="174">
        <v>78.599999999999994</v>
      </c>
      <c r="G55" s="175">
        <v>105.2</v>
      </c>
      <c r="M55" s="200">
        <v>0.6</v>
      </c>
      <c r="N55" s="174">
        <v>3.3</v>
      </c>
      <c r="O55" s="174">
        <v>5</v>
      </c>
      <c r="P55" s="174">
        <v>6.3</v>
      </c>
      <c r="Q55" s="175">
        <v>7.4</v>
      </c>
      <c r="R55" s="174">
        <f t="shared" si="1"/>
        <v>7.1999999999999993</v>
      </c>
      <c r="S55" s="174">
        <f t="shared" si="2"/>
        <v>24.1</v>
      </c>
      <c r="T55" s="174">
        <f t="shared" si="3"/>
        <v>48.5</v>
      </c>
      <c r="U55" s="174">
        <f t="shared" si="4"/>
        <v>84.899999999999991</v>
      </c>
      <c r="V55" s="175">
        <f t="shared" si="5"/>
        <v>112.60000000000001</v>
      </c>
    </row>
    <row r="56" spans="2:22">
      <c r="B56" s="170" t="s">
        <v>125</v>
      </c>
      <c r="C56" s="174">
        <v>8.9</v>
      </c>
      <c r="D56" s="174">
        <v>28.2</v>
      </c>
      <c r="E56" s="174">
        <v>62</v>
      </c>
      <c r="F56" s="174">
        <v>114.3</v>
      </c>
      <c r="G56" s="175">
        <v>154.6</v>
      </c>
      <c r="M56" s="200">
        <v>0.1</v>
      </c>
      <c r="N56" s="174">
        <v>0.3</v>
      </c>
      <c r="O56" s="174">
        <v>0.3</v>
      </c>
      <c r="P56" s="174">
        <v>0.4</v>
      </c>
      <c r="Q56" s="175">
        <v>0.5</v>
      </c>
      <c r="R56" s="174">
        <f t="shared" si="1"/>
        <v>9</v>
      </c>
      <c r="S56" s="174">
        <f t="shared" si="2"/>
        <v>28.5</v>
      </c>
      <c r="T56" s="174">
        <f t="shared" si="3"/>
        <v>62.3</v>
      </c>
      <c r="U56" s="174">
        <f t="shared" si="4"/>
        <v>114.7</v>
      </c>
      <c r="V56" s="175">
        <f t="shared" si="5"/>
        <v>155.1</v>
      </c>
    </row>
    <row r="57" spans="2:22">
      <c r="B57" s="170" t="s">
        <v>129</v>
      </c>
      <c r="C57" s="174">
        <v>4.5</v>
      </c>
      <c r="D57" s="174">
        <v>14.5</v>
      </c>
      <c r="E57" s="174">
        <v>30.5</v>
      </c>
      <c r="F57" s="174">
        <v>52.1</v>
      </c>
      <c r="G57" s="175">
        <v>69.400000000000006</v>
      </c>
      <c r="M57" s="200">
        <v>0.1</v>
      </c>
      <c r="N57" s="174">
        <v>0.4</v>
      </c>
      <c r="O57" s="174">
        <v>0.4</v>
      </c>
      <c r="P57" s="174">
        <v>0.4</v>
      </c>
      <c r="Q57" s="175">
        <v>0.5</v>
      </c>
      <c r="R57" s="174">
        <f t="shared" si="1"/>
        <v>4.5999999999999996</v>
      </c>
      <c r="S57" s="174">
        <f t="shared" si="2"/>
        <v>14.9</v>
      </c>
      <c r="T57" s="174">
        <f t="shared" si="3"/>
        <v>30.9</v>
      </c>
      <c r="U57" s="174">
        <f t="shared" si="4"/>
        <v>52.5</v>
      </c>
      <c r="V57" s="175">
        <f t="shared" si="5"/>
        <v>69.900000000000006</v>
      </c>
    </row>
    <row r="58" spans="2:22">
      <c r="B58" s="170" t="s">
        <v>288</v>
      </c>
      <c r="C58" s="174">
        <v>1.1000000000000001</v>
      </c>
      <c r="D58" s="174">
        <v>3.3</v>
      </c>
      <c r="E58" s="174">
        <v>6.3</v>
      </c>
      <c r="F58" s="174">
        <v>11.6</v>
      </c>
      <c r="G58" s="175">
        <v>15.6</v>
      </c>
      <c r="M58" s="200">
        <v>0.1</v>
      </c>
      <c r="N58" s="174">
        <v>0.5</v>
      </c>
      <c r="O58" s="174">
        <v>0.8</v>
      </c>
      <c r="P58" s="174">
        <v>1</v>
      </c>
      <c r="Q58" s="175">
        <v>1.2</v>
      </c>
      <c r="R58" s="174">
        <f t="shared" si="1"/>
        <v>1.2000000000000002</v>
      </c>
      <c r="S58" s="174">
        <f t="shared" si="2"/>
        <v>3.8</v>
      </c>
      <c r="T58" s="174">
        <f t="shared" si="3"/>
        <v>7.1</v>
      </c>
      <c r="U58" s="174">
        <f t="shared" si="4"/>
        <v>12.6</v>
      </c>
      <c r="V58" s="175">
        <f t="shared" si="5"/>
        <v>16.8</v>
      </c>
    </row>
    <row r="59" spans="2:22">
      <c r="B59" s="170" t="s">
        <v>301</v>
      </c>
      <c r="C59" s="174">
        <v>4.7</v>
      </c>
      <c r="D59" s="174">
        <v>14.3</v>
      </c>
      <c r="E59" s="174">
        <v>29.5</v>
      </c>
      <c r="F59" s="174">
        <v>52.8</v>
      </c>
      <c r="G59" s="175">
        <v>70.599999999999994</v>
      </c>
      <c r="M59" s="200">
        <v>0.9</v>
      </c>
      <c r="N59" s="174">
        <v>5.4</v>
      </c>
      <c r="O59" s="174">
        <v>8.1</v>
      </c>
      <c r="P59" s="174">
        <v>10.3</v>
      </c>
      <c r="Q59" s="175">
        <v>12</v>
      </c>
      <c r="R59" s="174">
        <f t="shared" si="1"/>
        <v>5.6000000000000005</v>
      </c>
      <c r="S59" s="174">
        <f t="shared" si="2"/>
        <v>19.700000000000003</v>
      </c>
      <c r="T59" s="174">
        <f t="shared" si="3"/>
        <v>37.6</v>
      </c>
      <c r="U59" s="174">
        <f t="shared" si="4"/>
        <v>63.099999999999994</v>
      </c>
      <c r="V59" s="175">
        <f t="shared" si="5"/>
        <v>82.6</v>
      </c>
    </row>
    <row r="60" spans="2:22">
      <c r="B60" s="170" t="s">
        <v>131</v>
      </c>
      <c r="C60" s="174">
        <v>2.2000000000000002</v>
      </c>
      <c r="D60" s="174">
        <v>6.1</v>
      </c>
      <c r="E60" s="174">
        <v>12.2</v>
      </c>
      <c r="F60" s="174">
        <v>22.9</v>
      </c>
      <c r="G60" s="175">
        <v>31.7</v>
      </c>
      <c r="M60" s="200">
        <v>0.4</v>
      </c>
      <c r="N60" s="174">
        <v>2.9</v>
      </c>
      <c r="O60" s="174">
        <v>4.4000000000000004</v>
      </c>
      <c r="P60" s="174">
        <v>5.6</v>
      </c>
      <c r="Q60" s="175">
        <v>6.5</v>
      </c>
      <c r="R60" s="174">
        <f t="shared" si="1"/>
        <v>2.6</v>
      </c>
      <c r="S60" s="174">
        <f t="shared" si="2"/>
        <v>9</v>
      </c>
      <c r="T60" s="174">
        <f t="shared" si="3"/>
        <v>16.600000000000001</v>
      </c>
      <c r="U60" s="174">
        <f t="shared" si="4"/>
        <v>28.5</v>
      </c>
      <c r="V60" s="175">
        <f t="shared" si="5"/>
        <v>38.200000000000003</v>
      </c>
    </row>
    <row r="61" spans="2:22">
      <c r="B61" s="171" t="s">
        <v>367</v>
      </c>
      <c r="C61" s="174">
        <v>6.9</v>
      </c>
      <c r="D61" s="174">
        <v>20.100000000000001</v>
      </c>
      <c r="E61" s="174">
        <v>41.7</v>
      </c>
      <c r="F61" s="174">
        <v>77.099999999999994</v>
      </c>
      <c r="G61" s="175">
        <v>104.9</v>
      </c>
      <c r="M61" s="200">
        <v>0.3</v>
      </c>
      <c r="N61" s="174">
        <v>1.7</v>
      </c>
      <c r="O61" s="174">
        <v>2.4</v>
      </c>
      <c r="P61" s="174">
        <v>3.1</v>
      </c>
      <c r="Q61" s="175">
        <v>3.6</v>
      </c>
      <c r="R61" s="174">
        <f t="shared" si="1"/>
        <v>7.2</v>
      </c>
      <c r="S61" s="174">
        <f t="shared" si="2"/>
        <v>21.8</v>
      </c>
      <c r="T61" s="174">
        <f t="shared" si="3"/>
        <v>44.1</v>
      </c>
      <c r="U61" s="174">
        <f t="shared" si="4"/>
        <v>80.199999999999989</v>
      </c>
      <c r="V61" s="175">
        <f t="shared" si="5"/>
        <v>108.5</v>
      </c>
    </row>
    <row r="62" spans="2:22">
      <c r="B62" s="193" t="s">
        <v>243</v>
      </c>
      <c r="C62" s="194">
        <v>0.2</v>
      </c>
      <c r="D62" s="194">
        <v>0.6</v>
      </c>
      <c r="E62" s="194">
        <v>0.9</v>
      </c>
      <c r="F62" s="194">
        <v>1.4</v>
      </c>
      <c r="G62" s="195">
        <v>1.7</v>
      </c>
      <c r="H62" s="138"/>
      <c r="I62" s="138"/>
      <c r="J62" s="138"/>
      <c r="K62" s="138"/>
      <c r="L62" s="138"/>
      <c r="M62" s="201">
        <v>0</v>
      </c>
      <c r="N62" s="194">
        <v>0.1</v>
      </c>
      <c r="O62" s="194">
        <v>0.1</v>
      </c>
      <c r="P62" s="194">
        <v>0.1</v>
      </c>
      <c r="Q62" s="195">
        <v>0.1</v>
      </c>
      <c r="R62" s="194">
        <f t="shared" si="1"/>
        <v>0.2</v>
      </c>
      <c r="S62" s="194">
        <f t="shared" si="2"/>
        <v>0.7</v>
      </c>
      <c r="T62" s="194">
        <f t="shared" si="3"/>
        <v>1</v>
      </c>
      <c r="U62" s="194">
        <f t="shared" si="4"/>
        <v>1.5</v>
      </c>
      <c r="V62" s="195">
        <f t="shared" si="5"/>
        <v>1.8</v>
      </c>
    </row>
    <row r="63" spans="2:22" s="87" customFormat="1">
      <c r="B63" s="182" t="s">
        <v>48</v>
      </c>
      <c r="C63" s="191">
        <v>335.7</v>
      </c>
      <c r="D63" s="191">
        <v>623.29999999999995</v>
      </c>
      <c r="E63" s="191">
        <v>945.4</v>
      </c>
      <c r="F63" s="191">
        <v>1437.9</v>
      </c>
      <c r="G63" s="192">
        <v>1757.8</v>
      </c>
      <c r="M63" s="199">
        <v>5.0999999999999996</v>
      </c>
      <c r="N63" s="191">
        <v>29.7</v>
      </c>
      <c r="O63" s="191">
        <v>44</v>
      </c>
      <c r="P63" s="191">
        <v>55.7</v>
      </c>
      <c r="Q63" s="192">
        <v>65</v>
      </c>
      <c r="R63" s="191">
        <f t="shared" si="1"/>
        <v>340.8</v>
      </c>
      <c r="S63" s="191">
        <f t="shared" si="2"/>
        <v>653</v>
      </c>
      <c r="T63" s="191">
        <f t="shared" si="3"/>
        <v>989.4</v>
      </c>
      <c r="U63" s="191">
        <f t="shared" si="4"/>
        <v>1493.6000000000001</v>
      </c>
      <c r="V63" s="192">
        <f t="shared" si="5"/>
        <v>1822.8</v>
      </c>
    </row>
    <row r="64" spans="2:22">
      <c r="B64" s="170" t="s">
        <v>101</v>
      </c>
      <c r="C64" s="174">
        <v>7.2</v>
      </c>
      <c r="D64" s="174">
        <v>14.9</v>
      </c>
      <c r="E64" s="174">
        <v>22.7</v>
      </c>
      <c r="F64" s="174">
        <v>32.799999999999997</v>
      </c>
      <c r="G64" s="175">
        <v>39.799999999999997</v>
      </c>
      <c r="M64" s="200">
        <v>0</v>
      </c>
      <c r="N64" s="174">
        <v>0.1</v>
      </c>
      <c r="O64" s="174">
        <v>0.1</v>
      </c>
      <c r="P64" s="174">
        <v>0.1</v>
      </c>
      <c r="Q64" s="175">
        <v>0.1</v>
      </c>
      <c r="R64" s="174">
        <f t="shared" si="1"/>
        <v>7.2</v>
      </c>
      <c r="S64" s="174">
        <f t="shared" si="2"/>
        <v>15</v>
      </c>
      <c r="T64" s="174">
        <f t="shared" si="3"/>
        <v>22.8</v>
      </c>
      <c r="U64" s="174">
        <f t="shared" si="4"/>
        <v>32.9</v>
      </c>
      <c r="V64" s="175">
        <f t="shared" si="5"/>
        <v>39.9</v>
      </c>
    </row>
    <row r="65" spans="2:22">
      <c r="B65" s="170" t="s">
        <v>146</v>
      </c>
      <c r="C65" s="174">
        <v>14.1</v>
      </c>
      <c r="D65" s="174">
        <v>30.5</v>
      </c>
      <c r="E65" s="174">
        <v>55</v>
      </c>
      <c r="F65" s="174">
        <v>92.3</v>
      </c>
      <c r="G65" s="175">
        <v>121.8</v>
      </c>
      <c r="M65" s="200">
        <v>0</v>
      </c>
      <c r="N65" s="174">
        <v>0.1</v>
      </c>
      <c r="O65" s="174">
        <v>0.1</v>
      </c>
      <c r="P65" s="174">
        <v>0</v>
      </c>
      <c r="Q65" s="175">
        <v>0</v>
      </c>
      <c r="R65" s="174">
        <f t="shared" si="1"/>
        <v>14.1</v>
      </c>
      <c r="S65" s="174">
        <f t="shared" si="2"/>
        <v>30.6</v>
      </c>
      <c r="T65" s="174">
        <f t="shared" si="3"/>
        <v>55.1</v>
      </c>
      <c r="U65" s="174">
        <f t="shared" si="4"/>
        <v>92.3</v>
      </c>
      <c r="V65" s="175">
        <f t="shared" si="5"/>
        <v>121.8</v>
      </c>
    </row>
    <row r="66" spans="2:22">
      <c r="B66" s="170" t="s">
        <v>261</v>
      </c>
      <c r="C66" s="174">
        <v>0.4</v>
      </c>
      <c r="D66" s="174">
        <v>0.6</v>
      </c>
      <c r="E66" s="174">
        <v>0.7</v>
      </c>
      <c r="F66" s="174">
        <v>1.2</v>
      </c>
      <c r="G66" s="175">
        <v>1.3</v>
      </c>
      <c r="M66" s="200">
        <v>0</v>
      </c>
      <c r="N66" s="174">
        <v>0</v>
      </c>
      <c r="O66" s="174">
        <v>0</v>
      </c>
      <c r="P66" s="174">
        <v>0</v>
      </c>
      <c r="Q66" s="175">
        <v>0</v>
      </c>
      <c r="R66" s="174">
        <f t="shared" si="1"/>
        <v>0.4</v>
      </c>
      <c r="S66" s="174">
        <f t="shared" si="2"/>
        <v>0.6</v>
      </c>
      <c r="T66" s="174">
        <f t="shared" si="3"/>
        <v>0.7</v>
      </c>
      <c r="U66" s="174">
        <f t="shared" si="4"/>
        <v>1.2</v>
      </c>
      <c r="V66" s="175">
        <f t="shared" si="5"/>
        <v>1.3</v>
      </c>
    </row>
    <row r="67" spans="2:22">
      <c r="B67" s="170" t="s">
        <v>356</v>
      </c>
      <c r="C67" s="174">
        <v>2.6</v>
      </c>
      <c r="D67" s="174">
        <v>4.3</v>
      </c>
      <c r="E67" s="174">
        <v>6.1</v>
      </c>
      <c r="F67" s="174">
        <v>9</v>
      </c>
      <c r="G67" s="175">
        <v>11.6</v>
      </c>
      <c r="M67" s="200">
        <v>0</v>
      </c>
      <c r="N67" s="174">
        <v>0.1</v>
      </c>
      <c r="O67" s="174">
        <v>0.1</v>
      </c>
      <c r="P67" s="174">
        <v>0.1</v>
      </c>
      <c r="Q67" s="175">
        <v>0.1</v>
      </c>
      <c r="R67" s="174">
        <f t="shared" si="1"/>
        <v>2.6</v>
      </c>
      <c r="S67" s="174">
        <f t="shared" si="2"/>
        <v>4.3999999999999995</v>
      </c>
      <c r="T67" s="174">
        <f t="shared" si="3"/>
        <v>6.1999999999999993</v>
      </c>
      <c r="U67" s="174">
        <f t="shared" si="4"/>
        <v>9.1</v>
      </c>
      <c r="V67" s="175">
        <f t="shared" si="5"/>
        <v>11.7</v>
      </c>
    </row>
    <row r="68" spans="2:22">
      <c r="B68" s="170" t="s">
        <v>361</v>
      </c>
      <c r="C68" s="174">
        <v>1.5</v>
      </c>
      <c r="D68" s="174">
        <v>2.4</v>
      </c>
      <c r="E68" s="174">
        <v>3.3</v>
      </c>
      <c r="F68" s="174">
        <v>4.0999999999999996</v>
      </c>
      <c r="G68" s="175">
        <v>4.9000000000000004</v>
      </c>
      <c r="M68" s="200">
        <v>0</v>
      </c>
      <c r="N68" s="174">
        <v>0.1</v>
      </c>
      <c r="O68" s="174">
        <v>0.2</v>
      </c>
      <c r="P68" s="174">
        <v>0.2</v>
      </c>
      <c r="Q68" s="175">
        <v>0.2</v>
      </c>
      <c r="R68" s="174">
        <f t="shared" si="1"/>
        <v>1.5</v>
      </c>
      <c r="S68" s="174">
        <f t="shared" si="2"/>
        <v>2.5</v>
      </c>
      <c r="T68" s="174">
        <f t="shared" si="3"/>
        <v>3.5</v>
      </c>
      <c r="U68" s="174">
        <f t="shared" si="4"/>
        <v>4.3</v>
      </c>
      <c r="V68" s="175">
        <f t="shared" si="5"/>
        <v>5.1000000000000005</v>
      </c>
    </row>
    <row r="69" spans="2:22">
      <c r="B69" s="170" t="s">
        <v>153</v>
      </c>
      <c r="C69" s="174">
        <v>0.1</v>
      </c>
      <c r="D69" s="174">
        <v>0.2</v>
      </c>
      <c r="E69" s="174">
        <v>0.4</v>
      </c>
      <c r="F69" s="174">
        <v>0.8</v>
      </c>
      <c r="G69" s="175">
        <v>0.9</v>
      </c>
      <c r="M69" s="200">
        <v>0.1</v>
      </c>
      <c r="N69" s="174">
        <v>0.6</v>
      </c>
      <c r="O69" s="174">
        <v>0.9</v>
      </c>
      <c r="P69" s="174">
        <v>1.2</v>
      </c>
      <c r="Q69" s="175">
        <v>1.4</v>
      </c>
      <c r="R69" s="174">
        <f t="shared" si="1"/>
        <v>0.2</v>
      </c>
      <c r="S69" s="174">
        <f t="shared" si="2"/>
        <v>0.8</v>
      </c>
      <c r="T69" s="174">
        <f t="shared" si="3"/>
        <v>1.3</v>
      </c>
      <c r="U69" s="174">
        <f t="shared" si="4"/>
        <v>2</v>
      </c>
      <c r="V69" s="175">
        <f t="shared" si="5"/>
        <v>2.2999999999999998</v>
      </c>
    </row>
    <row r="70" spans="2:22">
      <c r="B70" s="170" t="s">
        <v>227</v>
      </c>
      <c r="C70" s="174">
        <v>3.1</v>
      </c>
      <c r="D70" s="174">
        <v>5.7</v>
      </c>
      <c r="E70" s="174">
        <v>8.6</v>
      </c>
      <c r="F70" s="174">
        <v>12</v>
      </c>
      <c r="G70" s="175">
        <v>14.1</v>
      </c>
      <c r="M70" s="200">
        <v>0.1</v>
      </c>
      <c r="N70" s="174">
        <v>1</v>
      </c>
      <c r="O70" s="174">
        <v>1.5</v>
      </c>
      <c r="P70" s="174">
        <v>2</v>
      </c>
      <c r="Q70" s="175">
        <v>2.2999999999999998</v>
      </c>
      <c r="R70" s="174">
        <f t="shared" ref="R70:R133" si="6">M70+H70+C70</f>
        <v>3.2</v>
      </c>
      <c r="S70" s="174">
        <f t="shared" ref="S70:S133" si="7">N70+I70+D70</f>
        <v>6.7</v>
      </c>
      <c r="T70" s="174">
        <f t="shared" ref="T70:T133" si="8">O70+J70+E70</f>
        <v>10.1</v>
      </c>
      <c r="U70" s="174">
        <f t="shared" ref="U70:U133" si="9">P70+K70+F70</f>
        <v>14</v>
      </c>
      <c r="V70" s="175">
        <f t="shared" ref="V70:V133" si="10">Q70+L70+G70</f>
        <v>16.399999999999999</v>
      </c>
    </row>
    <row r="71" spans="2:22">
      <c r="B71" s="170" t="s">
        <v>236</v>
      </c>
      <c r="C71" s="174">
        <v>5.6</v>
      </c>
      <c r="D71" s="174">
        <v>10.7</v>
      </c>
      <c r="E71" s="174">
        <v>17.2</v>
      </c>
      <c r="F71" s="174">
        <v>27.1</v>
      </c>
      <c r="G71" s="175">
        <v>34.9</v>
      </c>
      <c r="M71" s="200">
        <v>0</v>
      </c>
      <c r="N71" s="174">
        <v>0</v>
      </c>
      <c r="O71" s="174">
        <v>0</v>
      </c>
      <c r="P71" s="174">
        <v>0</v>
      </c>
      <c r="Q71" s="175">
        <v>0</v>
      </c>
      <c r="R71" s="174">
        <f t="shared" si="6"/>
        <v>5.6</v>
      </c>
      <c r="S71" s="174">
        <f t="shared" si="7"/>
        <v>10.7</v>
      </c>
      <c r="T71" s="174">
        <f t="shared" si="8"/>
        <v>17.2</v>
      </c>
      <c r="U71" s="174">
        <f t="shared" si="9"/>
        <v>27.1</v>
      </c>
      <c r="V71" s="175">
        <f t="shared" si="10"/>
        <v>34.9</v>
      </c>
    </row>
    <row r="72" spans="2:22">
      <c r="B72" s="170" t="s">
        <v>263</v>
      </c>
      <c r="C72" s="174">
        <v>0</v>
      </c>
      <c r="D72" s="174">
        <v>0</v>
      </c>
      <c r="E72" s="174">
        <v>0</v>
      </c>
      <c r="F72" s="174">
        <v>0</v>
      </c>
      <c r="G72" s="175">
        <v>0.1</v>
      </c>
      <c r="M72" s="200">
        <v>0</v>
      </c>
      <c r="N72" s="174">
        <v>0</v>
      </c>
      <c r="O72" s="174">
        <v>0</v>
      </c>
      <c r="P72" s="174">
        <v>0</v>
      </c>
      <c r="Q72" s="175">
        <v>0</v>
      </c>
      <c r="R72" s="174">
        <f t="shared" si="6"/>
        <v>0</v>
      </c>
      <c r="S72" s="174">
        <f t="shared" si="7"/>
        <v>0</v>
      </c>
      <c r="T72" s="174">
        <f t="shared" si="8"/>
        <v>0</v>
      </c>
      <c r="U72" s="174">
        <f t="shared" si="9"/>
        <v>0</v>
      </c>
      <c r="V72" s="175">
        <f t="shared" si="10"/>
        <v>0.1</v>
      </c>
    </row>
    <row r="73" spans="2:22">
      <c r="B73" s="170" t="s">
        <v>295</v>
      </c>
      <c r="C73" s="174">
        <v>4.0999999999999996</v>
      </c>
      <c r="D73" s="174">
        <v>8.8000000000000007</v>
      </c>
      <c r="E73" s="174">
        <v>13.8</v>
      </c>
      <c r="F73" s="174">
        <v>20.2</v>
      </c>
      <c r="G73" s="175">
        <v>23.9</v>
      </c>
      <c r="M73" s="200">
        <v>0</v>
      </c>
      <c r="N73" s="174">
        <v>0.1</v>
      </c>
      <c r="O73" s="174">
        <v>0.2</v>
      </c>
      <c r="P73" s="174">
        <v>0.2</v>
      </c>
      <c r="Q73" s="175">
        <v>0.3</v>
      </c>
      <c r="R73" s="174">
        <f t="shared" si="6"/>
        <v>4.0999999999999996</v>
      </c>
      <c r="S73" s="174">
        <f t="shared" si="7"/>
        <v>8.9</v>
      </c>
      <c r="T73" s="174">
        <f t="shared" si="8"/>
        <v>14</v>
      </c>
      <c r="U73" s="174">
        <f t="shared" si="9"/>
        <v>20.399999999999999</v>
      </c>
      <c r="V73" s="175">
        <f t="shared" si="10"/>
        <v>24.2</v>
      </c>
    </row>
    <row r="74" spans="2:22">
      <c r="B74" s="170" t="s">
        <v>298</v>
      </c>
      <c r="C74" s="174">
        <v>1.9</v>
      </c>
      <c r="D74" s="174">
        <v>2.9</v>
      </c>
      <c r="E74" s="174">
        <v>3.5</v>
      </c>
      <c r="F74" s="174">
        <v>4.2</v>
      </c>
      <c r="G74" s="175">
        <v>4.5</v>
      </c>
      <c r="M74" s="200">
        <v>0</v>
      </c>
      <c r="N74" s="174">
        <v>0.1</v>
      </c>
      <c r="O74" s="174">
        <v>0.1</v>
      </c>
      <c r="P74" s="174">
        <v>0.1</v>
      </c>
      <c r="Q74" s="175">
        <v>0.1</v>
      </c>
      <c r="R74" s="174">
        <f t="shared" si="6"/>
        <v>1.9</v>
      </c>
      <c r="S74" s="174">
        <f t="shared" si="7"/>
        <v>3</v>
      </c>
      <c r="T74" s="174">
        <f t="shared" si="8"/>
        <v>3.6</v>
      </c>
      <c r="U74" s="174">
        <f t="shared" si="9"/>
        <v>4.3</v>
      </c>
      <c r="V74" s="175">
        <f t="shared" si="10"/>
        <v>4.5999999999999996</v>
      </c>
    </row>
    <row r="75" spans="2:22">
      <c r="B75" s="170" t="s">
        <v>347</v>
      </c>
      <c r="C75" s="174">
        <v>5.7</v>
      </c>
      <c r="D75" s="174">
        <v>11</v>
      </c>
      <c r="E75" s="174">
        <v>16.8</v>
      </c>
      <c r="F75" s="174">
        <v>25.7</v>
      </c>
      <c r="G75" s="175">
        <v>33.6</v>
      </c>
      <c r="M75" s="200">
        <v>0</v>
      </c>
      <c r="N75" s="174">
        <v>0.1</v>
      </c>
      <c r="O75" s="174">
        <v>0.1</v>
      </c>
      <c r="P75" s="174">
        <v>0.1</v>
      </c>
      <c r="Q75" s="175">
        <v>0.2</v>
      </c>
      <c r="R75" s="174">
        <f t="shared" si="6"/>
        <v>5.7</v>
      </c>
      <c r="S75" s="174">
        <f t="shared" si="7"/>
        <v>11.1</v>
      </c>
      <c r="T75" s="174">
        <f t="shared" si="8"/>
        <v>16.900000000000002</v>
      </c>
      <c r="U75" s="174">
        <f t="shared" si="9"/>
        <v>25.8</v>
      </c>
      <c r="V75" s="175">
        <f t="shared" si="10"/>
        <v>33.800000000000004</v>
      </c>
    </row>
    <row r="76" spans="2:22">
      <c r="B76" s="170" t="s">
        <v>111</v>
      </c>
      <c r="C76" s="174">
        <v>9.6</v>
      </c>
      <c r="D76" s="174">
        <v>18.7</v>
      </c>
      <c r="E76" s="174">
        <v>28.6</v>
      </c>
      <c r="F76" s="174">
        <v>42.1</v>
      </c>
      <c r="G76" s="175">
        <v>51.3</v>
      </c>
      <c r="M76" s="200">
        <v>0</v>
      </c>
      <c r="N76" s="174">
        <v>0</v>
      </c>
      <c r="O76" s="174">
        <v>0</v>
      </c>
      <c r="P76" s="174">
        <v>0</v>
      </c>
      <c r="Q76" s="175">
        <v>0</v>
      </c>
      <c r="R76" s="174">
        <f t="shared" si="6"/>
        <v>9.6</v>
      </c>
      <c r="S76" s="174">
        <f t="shared" si="7"/>
        <v>18.7</v>
      </c>
      <c r="T76" s="174">
        <f t="shared" si="8"/>
        <v>28.6</v>
      </c>
      <c r="U76" s="174">
        <f t="shared" si="9"/>
        <v>42.1</v>
      </c>
      <c r="V76" s="175">
        <f t="shared" si="10"/>
        <v>51.3</v>
      </c>
    </row>
    <row r="77" spans="2:22">
      <c r="B77" s="170" t="s">
        <v>115</v>
      </c>
      <c r="C77" s="174">
        <v>3.5</v>
      </c>
      <c r="D77" s="174">
        <v>5.2</v>
      </c>
      <c r="E77" s="174">
        <v>6.1</v>
      </c>
      <c r="F77" s="174">
        <v>7.3</v>
      </c>
      <c r="G77" s="175">
        <v>8.3000000000000007</v>
      </c>
      <c r="M77" s="200">
        <v>0.4</v>
      </c>
      <c r="N77" s="174">
        <v>2.7</v>
      </c>
      <c r="O77" s="174">
        <v>4.2</v>
      </c>
      <c r="P77" s="174">
        <v>5.3</v>
      </c>
      <c r="Q77" s="175">
        <v>6.2</v>
      </c>
      <c r="R77" s="174">
        <f t="shared" si="6"/>
        <v>3.9</v>
      </c>
      <c r="S77" s="174">
        <f t="shared" si="7"/>
        <v>7.9</v>
      </c>
      <c r="T77" s="174">
        <f t="shared" si="8"/>
        <v>10.3</v>
      </c>
      <c r="U77" s="174">
        <f t="shared" si="9"/>
        <v>12.6</v>
      </c>
      <c r="V77" s="175">
        <f t="shared" si="10"/>
        <v>14.5</v>
      </c>
    </row>
    <row r="78" spans="2:22">
      <c r="B78" s="170" t="s">
        <v>160</v>
      </c>
      <c r="C78" s="174">
        <v>0.5</v>
      </c>
      <c r="D78" s="174">
        <v>0.9</v>
      </c>
      <c r="E78" s="174">
        <v>1.2</v>
      </c>
      <c r="F78" s="174">
        <v>1.5</v>
      </c>
      <c r="G78" s="175">
        <v>1.7</v>
      </c>
      <c r="M78" s="200">
        <v>0</v>
      </c>
      <c r="N78" s="174">
        <v>0</v>
      </c>
      <c r="O78" s="174">
        <v>0</v>
      </c>
      <c r="P78" s="174">
        <v>0</v>
      </c>
      <c r="Q78" s="175">
        <v>0</v>
      </c>
      <c r="R78" s="174">
        <f t="shared" si="6"/>
        <v>0.5</v>
      </c>
      <c r="S78" s="174">
        <f t="shared" si="7"/>
        <v>0.9</v>
      </c>
      <c r="T78" s="174">
        <f t="shared" si="8"/>
        <v>1.2</v>
      </c>
      <c r="U78" s="174">
        <f t="shared" si="9"/>
        <v>1.5</v>
      </c>
      <c r="V78" s="175">
        <f t="shared" si="10"/>
        <v>1.7</v>
      </c>
    </row>
    <row r="79" spans="2:22">
      <c r="B79" s="170" t="s">
        <v>256</v>
      </c>
      <c r="C79" s="174">
        <v>1.4</v>
      </c>
      <c r="D79" s="174">
        <v>2.2999999999999998</v>
      </c>
      <c r="E79" s="174">
        <v>3.1</v>
      </c>
      <c r="F79" s="174">
        <v>3.9</v>
      </c>
      <c r="G79" s="175">
        <v>4.5</v>
      </c>
      <c r="M79" s="200">
        <v>0</v>
      </c>
      <c r="N79" s="174">
        <v>0</v>
      </c>
      <c r="O79" s="174">
        <v>0</v>
      </c>
      <c r="P79" s="174">
        <v>0</v>
      </c>
      <c r="Q79" s="175">
        <v>0</v>
      </c>
      <c r="R79" s="174">
        <f t="shared" si="6"/>
        <v>1.4</v>
      </c>
      <c r="S79" s="174">
        <f t="shared" si="7"/>
        <v>2.2999999999999998</v>
      </c>
      <c r="T79" s="174">
        <f t="shared" si="8"/>
        <v>3.1</v>
      </c>
      <c r="U79" s="174">
        <f t="shared" si="9"/>
        <v>3.9</v>
      </c>
      <c r="V79" s="175">
        <f t="shared" si="10"/>
        <v>4.5</v>
      </c>
    </row>
    <row r="80" spans="2:22">
      <c r="B80" s="170" t="s">
        <v>259</v>
      </c>
      <c r="C80" s="174">
        <v>1.4</v>
      </c>
      <c r="D80" s="174">
        <v>3.4</v>
      </c>
      <c r="E80" s="174">
        <v>6.7</v>
      </c>
      <c r="F80" s="174">
        <v>10.4</v>
      </c>
      <c r="G80" s="175">
        <v>13.9</v>
      </c>
      <c r="M80" s="200">
        <v>0</v>
      </c>
      <c r="N80" s="174">
        <v>0.2</v>
      </c>
      <c r="O80" s="174">
        <v>0.3</v>
      </c>
      <c r="P80" s="174">
        <v>0.4</v>
      </c>
      <c r="Q80" s="175">
        <v>0.5</v>
      </c>
      <c r="R80" s="174">
        <f t="shared" si="6"/>
        <v>1.4</v>
      </c>
      <c r="S80" s="174">
        <f t="shared" si="7"/>
        <v>3.6</v>
      </c>
      <c r="T80" s="174">
        <f t="shared" si="8"/>
        <v>7</v>
      </c>
      <c r="U80" s="174">
        <f t="shared" si="9"/>
        <v>10.8</v>
      </c>
      <c r="V80" s="175">
        <f t="shared" si="10"/>
        <v>14.4</v>
      </c>
    </row>
    <row r="81" spans="2:22">
      <c r="B81" s="170" t="s">
        <v>117</v>
      </c>
      <c r="C81" s="174">
        <v>7.2</v>
      </c>
      <c r="D81" s="174">
        <v>15.7</v>
      </c>
      <c r="E81" s="174">
        <v>22.8</v>
      </c>
      <c r="F81" s="174">
        <v>32.200000000000003</v>
      </c>
      <c r="G81" s="175">
        <v>40.299999999999997</v>
      </c>
      <c r="M81" s="200">
        <v>0</v>
      </c>
      <c r="N81" s="174">
        <v>0.2</v>
      </c>
      <c r="O81" s="174">
        <v>0.2</v>
      </c>
      <c r="P81" s="174">
        <v>0.3</v>
      </c>
      <c r="Q81" s="175">
        <v>0.4</v>
      </c>
      <c r="R81" s="174">
        <f t="shared" si="6"/>
        <v>7.2</v>
      </c>
      <c r="S81" s="174">
        <f t="shared" si="7"/>
        <v>15.899999999999999</v>
      </c>
      <c r="T81" s="174">
        <f t="shared" si="8"/>
        <v>23</v>
      </c>
      <c r="U81" s="174">
        <f t="shared" si="9"/>
        <v>32.5</v>
      </c>
      <c r="V81" s="175">
        <f t="shared" si="10"/>
        <v>40.699999999999996</v>
      </c>
    </row>
    <row r="82" spans="2:22">
      <c r="B82" s="170" t="s">
        <v>119</v>
      </c>
      <c r="C82" s="174">
        <v>28.8</v>
      </c>
      <c r="D82" s="174">
        <v>61.5</v>
      </c>
      <c r="E82" s="174">
        <v>106.4</v>
      </c>
      <c r="F82" s="174">
        <v>169</v>
      </c>
      <c r="G82" s="175">
        <v>212.8</v>
      </c>
      <c r="M82" s="200">
        <v>1.2</v>
      </c>
      <c r="N82" s="174">
        <v>7.6</v>
      </c>
      <c r="O82" s="174">
        <v>11.4</v>
      </c>
      <c r="P82" s="174">
        <v>14.5</v>
      </c>
      <c r="Q82" s="175">
        <v>17</v>
      </c>
      <c r="R82" s="174">
        <f t="shared" si="6"/>
        <v>30</v>
      </c>
      <c r="S82" s="174">
        <f t="shared" si="7"/>
        <v>69.099999999999994</v>
      </c>
      <c r="T82" s="174">
        <f t="shared" si="8"/>
        <v>117.80000000000001</v>
      </c>
      <c r="U82" s="174">
        <f t="shared" si="9"/>
        <v>183.5</v>
      </c>
      <c r="V82" s="175">
        <f t="shared" si="10"/>
        <v>229.8</v>
      </c>
    </row>
    <row r="83" spans="2:22">
      <c r="B83" s="170" t="s">
        <v>113</v>
      </c>
      <c r="C83" s="174">
        <v>109.3</v>
      </c>
      <c r="D83" s="174">
        <v>192</v>
      </c>
      <c r="E83" s="174">
        <v>244</v>
      </c>
      <c r="F83" s="174">
        <v>360.8</v>
      </c>
      <c r="G83" s="175">
        <v>394.9</v>
      </c>
      <c r="M83" s="200">
        <v>0.4</v>
      </c>
      <c r="N83" s="174">
        <v>2.2000000000000002</v>
      </c>
      <c r="O83" s="174">
        <v>3</v>
      </c>
      <c r="P83" s="174">
        <v>3.8</v>
      </c>
      <c r="Q83" s="175">
        <v>4.4000000000000004</v>
      </c>
      <c r="R83" s="174">
        <f t="shared" si="6"/>
        <v>109.7</v>
      </c>
      <c r="S83" s="174">
        <f t="shared" si="7"/>
        <v>194.2</v>
      </c>
      <c r="T83" s="174">
        <f t="shared" si="8"/>
        <v>247</v>
      </c>
      <c r="U83" s="174">
        <f t="shared" si="9"/>
        <v>364.6</v>
      </c>
      <c r="V83" s="175">
        <f t="shared" si="10"/>
        <v>399.29999999999995</v>
      </c>
    </row>
    <row r="84" spans="2:22">
      <c r="B84" s="170" t="s">
        <v>123</v>
      </c>
      <c r="C84" s="174">
        <v>27.8</v>
      </c>
      <c r="D84" s="174">
        <v>49.1</v>
      </c>
      <c r="E84" s="174">
        <v>75.400000000000006</v>
      </c>
      <c r="F84" s="174">
        <v>110.7</v>
      </c>
      <c r="G84" s="175">
        <v>138.80000000000001</v>
      </c>
      <c r="M84" s="200">
        <v>0.6</v>
      </c>
      <c r="N84" s="174">
        <v>3.3</v>
      </c>
      <c r="O84" s="174">
        <v>5</v>
      </c>
      <c r="P84" s="174">
        <v>6.3</v>
      </c>
      <c r="Q84" s="175">
        <v>7.4</v>
      </c>
      <c r="R84" s="174">
        <f t="shared" si="6"/>
        <v>28.400000000000002</v>
      </c>
      <c r="S84" s="174">
        <f t="shared" si="7"/>
        <v>52.4</v>
      </c>
      <c r="T84" s="174">
        <f t="shared" si="8"/>
        <v>80.400000000000006</v>
      </c>
      <c r="U84" s="174">
        <f t="shared" si="9"/>
        <v>117</v>
      </c>
      <c r="V84" s="175">
        <f t="shared" si="10"/>
        <v>146.20000000000002</v>
      </c>
    </row>
    <row r="85" spans="2:22">
      <c r="B85" s="170" t="s">
        <v>125</v>
      </c>
      <c r="C85" s="174">
        <v>24.8</v>
      </c>
      <c r="D85" s="174">
        <v>44.9</v>
      </c>
      <c r="E85" s="174">
        <v>80.3</v>
      </c>
      <c r="F85" s="174">
        <v>135.69999999999999</v>
      </c>
      <c r="G85" s="175">
        <v>178.3</v>
      </c>
      <c r="M85" s="200">
        <v>0.1</v>
      </c>
      <c r="N85" s="174">
        <v>0.3</v>
      </c>
      <c r="O85" s="174">
        <v>0.3</v>
      </c>
      <c r="P85" s="174">
        <v>0.4</v>
      </c>
      <c r="Q85" s="175">
        <v>0.5</v>
      </c>
      <c r="R85" s="174">
        <f t="shared" si="6"/>
        <v>24.900000000000002</v>
      </c>
      <c r="S85" s="174">
        <f t="shared" si="7"/>
        <v>45.199999999999996</v>
      </c>
      <c r="T85" s="174">
        <f t="shared" si="8"/>
        <v>80.599999999999994</v>
      </c>
      <c r="U85" s="174">
        <f t="shared" si="9"/>
        <v>136.1</v>
      </c>
      <c r="V85" s="175">
        <f t="shared" si="10"/>
        <v>178.8</v>
      </c>
    </row>
    <row r="86" spans="2:22">
      <c r="B86" s="170" t="s">
        <v>129</v>
      </c>
      <c r="C86" s="174">
        <v>17</v>
      </c>
      <c r="D86" s="174">
        <v>36.200000000000003</v>
      </c>
      <c r="E86" s="174">
        <v>60.4</v>
      </c>
      <c r="F86" s="174">
        <v>88.7</v>
      </c>
      <c r="G86" s="175">
        <v>109.3</v>
      </c>
      <c r="M86" s="200">
        <v>0.1</v>
      </c>
      <c r="N86" s="174">
        <v>0.4</v>
      </c>
      <c r="O86" s="174">
        <v>0.4</v>
      </c>
      <c r="P86" s="174">
        <v>0.4</v>
      </c>
      <c r="Q86" s="175">
        <v>0.5</v>
      </c>
      <c r="R86" s="174">
        <f t="shared" si="6"/>
        <v>17.100000000000001</v>
      </c>
      <c r="S86" s="174">
        <f t="shared" si="7"/>
        <v>36.6</v>
      </c>
      <c r="T86" s="174">
        <f t="shared" si="8"/>
        <v>60.8</v>
      </c>
      <c r="U86" s="174">
        <f t="shared" si="9"/>
        <v>89.100000000000009</v>
      </c>
      <c r="V86" s="175">
        <f t="shared" si="10"/>
        <v>109.8</v>
      </c>
    </row>
    <row r="87" spans="2:22">
      <c r="B87" s="170" t="s">
        <v>288</v>
      </c>
      <c r="C87" s="174">
        <v>4.7</v>
      </c>
      <c r="D87" s="174">
        <v>8.1</v>
      </c>
      <c r="E87" s="174">
        <v>11.6</v>
      </c>
      <c r="F87" s="174">
        <v>16.7</v>
      </c>
      <c r="G87" s="175">
        <v>20.9</v>
      </c>
      <c r="M87" s="200">
        <v>0.1</v>
      </c>
      <c r="N87" s="174">
        <v>0.5</v>
      </c>
      <c r="O87" s="174">
        <v>0.8</v>
      </c>
      <c r="P87" s="174">
        <v>1</v>
      </c>
      <c r="Q87" s="175">
        <v>1.2</v>
      </c>
      <c r="R87" s="174">
        <f t="shared" si="6"/>
        <v>4.8</v>
      </c>
      <c r="S87" s="174">
        <f t="shared" si="7"/>
        <v>8.6</v>
      </c>
      <c r="T87" s="174">
        <f t="shared" si="8"/>
        <v>12.4</v>
      </c>
      <c r="U87" s="174">
        <f t="shared" si="9"/>
        <v>17.7</v>
      </c>
      <c r="V87" s="175">
        <f t="shared" si="10"/>
        <v>22.099999999999998</v>
      </c>
    </row>
    <row r="88" spans="2:22">
      <c r="B88" s="170" t="s">
        <v>301</v>
      </c>
      <c r="C88" s="174">
        <v>10.8</v>
      </c>
      <c r="D88" s="174">
        <v>23.8</v>
      </c>
      <c r="E88" s="174">
        <v>43.1</v>
      </c>
      <c r="F88" s="174">
        <v>71.2</v>
      </c>
      <c r="G88" s="175">
        <v>92.4</v>
      </c>
      <c r="M88" s="200">
        <v>0.9</v>
      </c>
      <c r="N88" s="174">
        <v>5.4</v>
      </c>
      <c r="O88" s="174">
        <v>8.1</v>
      </c>
      <c r="P88" s="174">
        <v>10.3</v>
      </c>
      <c r="Q88" s="175">
        <v>12</v>
      </c>
      <c r="R88" s="174">
        <f t="shared" si="6"/>
        <v>11.700000000000001</v>
      </c>
      <c r="S88" s="174">
        <f t="shared" si="7"/>
        <v>29.200000000000003</v>
      </c>
      <c r="T88" s="174">
        <f t="shared" si="8"/>
        <v>51.2</v>
      </c>
      <c r="U88" s="174">
        <f t="shared" si="9"/>
        <v>81.5</v>
      </c>
      <c r="V88" s="175">
        <f t="shared" si="10"/>
        <v>104.4</v>
      </c>
    </row>
    <row r="89" spans="2:22">
      <c r="B89" s="170" t="s">
        <v>131</v>
      </c>
      <c r="C89" s="174">
        <v>8.3000000000000007</v>
      </c>
      <c r="D89" s="174">
        <v>15.7</v>
      </c>
      <c r="E89" s="174">
        <v>24.4</v>
      </c>
      <c r="F89" s="174">
        <v>37.5</v>
      </c>
      <c r="G89" s="175">
        <v>48.3</v>
      </c>
      <c r="M89" s="200">
        <v>0.4</v>
      </c>
      <c r="N89" s="174">
        <v>2.9</v>
      </c>
      <c r="O89" s="174">
        <v>4.4000000000000004</v>
      </c>
      <c r="P89" s="174">
        <v>5.6</v>
      </c>
      <c r="Q89" s="175">
        <v>6.5</v>
      </c>
      <c r="R89" s="174">
        <f t="shared" si="6"/>
        <v>8.7000000000000011</v>
      </c>
      <c r="S89" s="174">
        <f t="shared" si="7"/>
        <v>18.599999999999998</v>
      </c>
      <c r="T89" s="174">
        <f t="shared" si="8"/>
        <v>28.799999999999997</v>
      </c>
      <c r="U89" s="174">
        <f t="shared" si="9"/>
        <v>43.1</v>
      </c>
      <c r="V89" s="175">
        <f t="shared" si="10"/>
        <v>54.8</v>
      </c>
    </row>
    <row r="90" spans="2:22">
      <c r="B90" s="171" t="s">
        <v>367</v>
      </c>
      <c r="C90" s="174">
        <v>31.8</v>
      </c>
      <c r="D90" s="174">
        <v>49.5</v>
      </c>
      <c r="E90" s="174">
        <v>77.7</v>
      </c>
      <c r="F90" s="174">
        <v>114.3</v>
      </c>
      <c r="G90" s="175">
        <v>143.5</v>
      </c>
      <c r="M90" s="200">
        <v>0.3</v>
      </c>
      <c r="N90" s="174">
        <v>1.7</v>
      </c>
      <c r="O90" s="174">
        <v>2.4</v>
      </c>
      <c r="P90" s="174">
        <v>3.1</v>
      </c>
      <c r="Q90" s="175">
        <v>3.6</v>
      </c>
      <c r="R90" s="174">
        <f t="shared" si="6"/>
        <v>32.1</v>
      </c>
      <c r="S90" s="174">
        <f t="shared" si="7"/>
        <v>51.2</v>
      </c>
      <c r="T90" s="174">
        <f t="shared" si="8"/>
        <v>80.100000000000009</v>
      </c>
      <c r="U90" s="174">
        <f t="shared" si="9"/>
        <v>117.39999999999999</v>
      </c>
      <c r="V90" s="175">
        <f t="shared" si="10"/>
        <v>147.1</v>
      </c>
    </row>
    <row r="91" spans="2:22" ht="15.75" thickBot="1">
      <c r="B91" s="173" t="s">
        <v>243</v>
      </c>
      <c r="C91" s="176">
        <v>2.5</v>
      </c>
      <c r="D91" s="176">
        <v>4.0999999999999996</v>
      </c>
      <c r="E91" s="176">
        <v>5.4</v>
      </c>
      <c r="F91" s="176">
        <v>6.4</v>
      </c>
      <c r="G91" s="177">
        <v>7</v>
      </c>
      <c r="H91" s="176"/>
      <c r="I91" s="176"/>
      <c r="J91" s="176"/>
      <c r="K91" s="176"/>
      <c r="L91" s="176"/>
      <c r="M91" s="202">
        <v>0</v>
      </c>
      <c r="N91" s="176">
        <v>0.1</v>
      </c>
      <c r="O91" s="176">
        <v>0.1</v>
      </c>
      <c r="P91" s="176">
        <v>0.1</v>
      </c>
      <c r="Q91" s="177">
        <v>0.1</v>
      </c>
      <c r="R91" s="176">
        <f t="shared" si="6"/>
        <v>2.5</v>
      </c>
      <c r="S91" s="176">
        <f t="shared" si="7"/>
        <v>4.1999999999999993</v>
      </c>
      <c r="T91" s="176">
        <f t="shared" si="8"/>
        <v>5.5</v>
      </c>
      <c r="U91" s="176">
        <f t="shared" si="9"/>
        <v>6.5</v>
      </c>
      <c r="V91" s="177">
        <f t="shared" si="10"/>
        <v>7.1</v>
      </c>
    </row>
    <row r="92" spans="2:22" s="87" customFormat="1">
      <c r="B92" s="182" t="s">
        <v>50</v>
      </c>
      <c r="C92" s="191">
        <v>335.7</v>
      </c>
      <c r="D92" s="191">
        <v>623.29999999999995</v>
      </c>
      <c r="E92" s="191">
        <v>945.4</v>
      </c>
      <c r="F92" s="191">
        <v>1437.9</v>
      </c>
      <c r="G92" s="192">
        <v>1757.8</v>
      </c>
      <c r="M92" s="199">
        <v>3.7</v>
      </c>
      <c r="N92" s="191">
        <v>16.899999999999999</v>
      </c>
      <c r="O92" s="191">
        <v>185.6</v>
      </c>
      <c r="P92" s="191">
        <v>378.5</v>
      </c>
      <c r="Q92" s="192">
        <v>455.9</v>
      </c>
      <c r="R92" s="191">
        <f t="shared" si="6"/>
        <v>339.4</v>
      </c>
      <c r="S92" s="191">
        <f t="shared" si="7"/>
        <v>640.19999999999993</v>
      </c>
      <c r="T92" s="191">
        <f t="shared" si="8"/>
        <v>1131</v>
      </c>
      <c r="U92" s="191">
        <f t="shared" si="9"/>
        <v>1816.4</v>
      </c>
      <c r="V92" s="192">
        <f t="shared" si="10"/>
        <v>2213.6999999999998</v>
      </c>
    </row>
    <row r="93" spans="2:22">
      <c r="B93" s="170" t="s">
        <v>101</v>
      </c>
      <c r="C93" s="174">
        <v>7.2</v>
      </c>
      <c r="D93" s="174">
        <v>14.9</v>
      </c>
      <c r="E93" s="174">
        <v>22.7</v>
      </c>
      <c r="F93" s="174">
        <v>32.799999999999997</v>
      </c>
      <c r="G93" s="175">
        <v>39.799999999999997</v>
      </c>
      <c r="M93" s="200">
        <v>0.1</v>
      </c>
      <c r="N93" s="174">
        <v>0.4</v>
      </c>
      <c r="O93" s="174">
        <v>4.4000000000000004</v>
      </c>
      <c r="P93" s="174">
        <v>9.3000000000000007</v>
      </c>
      <c r="Q93" s="175">
        <v>10.9</v>
      </c>
      <c r="R93" s="174">
        <f t="shared" si="6"/>
        <v>7.3</v>
      </c>
      <c r="S93" s="174">
        <f t="shared" si="7"/>
        <v>15.3</v>
      </c>
      <c r="T93" s="174">
        <f t="shared" si="8"/>
        <v>27.1</v>
      </c>
      <c r="U93" s="174">
        <f t="shared" si="9"/>
        <v>42.099999999999994</v>
      </c>
      <c r="V93" s="175">
        <f t="shared" si="10"/>
        <v>50.699999999999996</v>
      </c>
    </row>
    <row r="94" spans="2:22">
      <c r="B94" s="170" t="s">
        <v>146</v>
      </c>
      <c r="C94" s="174">
        <v>14.1</v>
      </c>
      <c r="D94" s="174">
        <v>30.5</v>
      </c>
      <c r="E94" s="174">
        <v>55</v>
      </c>
      <c r="F94" s="174">
        <v>92.3</v>
      </c>
      <c r="G94" s="175">
        <v>121.8</v>
      </c>
      <c r="M94" s="200">
        <v>0.1</v>
      </c>
      <c r="N94" s="174">
        <v>0.5</v>
      </c>
      <c r="O94" s="174">
        <v>5.4</v>
      </c>
      <c r="P94" s="174">
        <v>11.3</v>
      </c>
      <c r="Q94" s="175">
        <v>13.4</v>
      </c>
      <c r="R94" s="174">
        <f t="shared" si="6"/>
        <v>14.2</v>
      </c>
      <c r="S94" s="174">
        <f t="shared" si="7"/>
        <v>31</v>
      </c>
      <c r="T94" s="174">
        <f t="shared" si="8"/>
        <v>60.4</v>
      </c>
      <c r="U94" s="174">
        <f t="shared" si="9"/>
        <v>103.6</v>
      </c>
      <c r="V94" s="175">
        <f t="shared" si="10"/>
        <v>135.19999999999999</v>
      </c>
    </row>
    <row r="95" spans="2:22">
      <c r="B95" s="170" t="s">
        <v>261</v>
      </c>
      <c r="C95" s="174">
        <v>0.4</v>
      </c>
      <c r="D95" s="174">
        <v>0.6</v>
      </c>
      <c r="E95" s="174">
        <v>0.7</v>
      </c>
      <c r="F95" s="174">
        <v>1.2</v>
      </c>
      <c r="G95" s="175">
        <v>1.3</v>
      </c>
      <c r="M95" s="200">
        <v>0</v>
      </c>
      <c r="N95" s="174">
        <v>0.1</v>
      </c>
      <c r="O95" s="174">
        <v>1.6</v>
      </c>
      <c r="P95" s="174">
        <v>3.4</v>
      </c>
      <c r="Q95" s="175">
        <v>4.0999999999999996</v>
      </c>
      <c r="R95" s="174">
        <f t="shared" si="6"/>
        <v>0.4</v>
      </c>
      <c r="S95" s="174">
        <f t="shared" si="7"/>
        <v>0.7</v>
      </c>
      <c r="T95" s="174">
        <f t="shared" si="8"/>
        <v>2.2999999999999998</v>
      </c>
      <c r="U95" s="174">
        <f t="shared" si="9"/>
        <v>4.5999999999999996</v>
      </c>
      <c r="V95" s="175">
        <f t="shared" si="10"/>
        <v>5.3999999999999995</v>
      </c>
    </row>
    <row r="96" spans="2:22">
      <c r="B96" s="170" t="s">
        <v>356</v>
      </c>
      <c r="C96" s="174">
        <v>2.6</v>
      </c>
      <c r="D96" s="174">
        <v>4.3</v>
      </c>
      <c r="E96" s="174">
        <v>6.1</v>
      </c>
      <c r="F96" s="174">
        <v>9</v>
      </c>
      <c r="G96" s="175">
        <v>11.6</v>
      </c>
      <c r="M96" s="200">
        <v>0</v>
      </c>
      <c r="N96" s="174">
        <v>0.1</v>
      </c>
      <c r="O96" s="174">
        <v>1.8</v>
      </c>
      <c r="P96" s="174">
        <v>3.7</v>
      </c>
      <c r="Q96" s="175">
        <v>4.4000000000000004</v>
      </c>
      <c r="R96" s="174">
        <f t="shared" si="6"/>
        <v>2.6</v>
      </c>
      <c r="S96" s="174">
        <f t="shared" si="7"/>
        <v>4.3999999999999995</v>
      </c>
      <c r="T96" s="174">
        <f t="shared" si="8"/>
        <v>7.8999999999999995</v>
      </c>
      <c r="U96" s="174">
        <f t="shared" si="9"/>
        <v>12.7</v>
      </c>
      <c r="V96" s="175">
        <f t="shared" si="10"/>
        <v>16</v>
      </c>
    </row>
    <row r="97" spans="2:22">
      <c r="B97" s="170" t="s">
        <v>361</v>
      </c>
      <c r="C97" s="174">
        <v>1.5</v>
      </c>
      <c r="D97" s="174">
        <v>2.4</v>
      </c>
      <c r="E97" s="174">
        <v>3.3</v>
      </c>
      <c r="F97" s="174">
        <v>4.0999999999999996</v>
      </c>
      <c r="G97" s="175">
        <v>4.9000000000000004</v>
      </c>
      <c r="M97" s="200">
        <v>0</v>
      </c>
      <c r="N97" s="174">
        <v>0.1</v>
      </c>
      <c r="O97" s="174">
        <v>1.1000000000000001</v>
      </c>
      <c r="P97" s="174">
        <v>2.2999999999999998</v>
      </c>
      <c r="Q97" s="175">
        <v>2.7</v>
      </c>
      <c r="R97" s="174">
        <f t="shared" si="6"/>
        <v>1.5</v>
      </c>
      <c r="S97" s="174">
        <f t="shared" si="7"/>
        <v>2.5</v>
      </c>
      <c r="T97" s="174">
        <f t="shared" si="8"/>
        <v>4.4000000000000004</v>
      </c>
      <c r="U97" s="174">
        <f t="shared" si="9"/>
        <v>6.3999999999999995</v>
      </c>
      <c r="V97" s="175">
        <f t="shared" si="10"/>
        <v>7.6000000000000005</v>
      </c>
    </row>
    <row r="98" spans="2:22">
      <c r="B98" s="170" t="s">
        <v>153</v>
      </c>
      <c r="C98" s="174">
        <v>0.1</v>
      </c>
      <c r="D98" s="174">
        <v>0.2</v>
      </c>
      <c r="E98" s="174">
        <v>0.4</v>
      </c>
      <c r="F98" s="174">
        <v>0.8</v>
      </c>
      <c r="G98" s="175">
        <v>0.9</v>
      </c>
      <c r="M98" s="200">
        <v>0</v>
      </c>
      <c r="N98" s="174">
        <v>0</v>
      </c>
      <c r="O98" s="174">
        <v>0.9</v>
      </c>
      <c r="P98" s="174">
        <v>1.7</v>
      </c>
      <c r="Q98" s="175">
        <v>2.2000000000000002</v>
      </c>
      <c r="R98" s="174">
        <f t="shared" si="6"/>
        <v>0.1</v>
      </c>
      <c r="S98" s="174">
        <f t="shared" si="7"/>
        <v>0.2</v>
      </c>
      <c r="T98" s="174">
        <f t="shared" si="8"/>
        <v>1.3</v>
      </c>
      <c r="U98" s="174">
        <f t="shared" si="9"/>
        <v>2.5</v>
      </c>
      <c r="V98" s="175">
        <f t="shared" si="10"/>
        <v>3.1</v>
      </c>
    </row>
    <row r="99" spans="2:22">
      <c r="B99" s="170" t="s">
        <v>227</v>
      </c>
      <c r="C99" s="174">
        <v>3.1</v>
      </c>
      <c r="D99" s="174">
        <v>5.7</v>
      </c>
      <c r="E99" s="174">
        <v>8.6</v>
      </c>
      <c r="F99" s="174">
        <v>12</v>
      </c>
      <c r="G99" s="175">
        <v>14.1</v>
      </c>
      <c r="M99" s="200">
        <v>0</v>
      </c>
      <c r="N99" s="174">
        <v>0.3</v>
      </c>
      <c r="O99" s="174">
        <v>1.5</v>
      </c>
      <c r="P99" s="174">
        <v>2.5</v>
      </c>
      <c r="Q99" s="175">
        <v>3.3</v>
      </c>
      <c r="R99" s="174">
        <f t="shared" si="6"/>
        <v>3.1</v>
      </c>
      <c r="S99" s="174">
        <f t="shared" si="7"/>
        <v>6</v>
      </c>
      <c r="T99" s="174">
        <f t="shared" si="8"/>
        <v>10.1</v>
      </c>
      <c r="U99" s="174">
        <f t="shared" si="9"/>
        <v>14.5</v>
      </c>
      <c r="V99" s="175">
        <f t="shared" si="10"/>
        <v>17.399999999999999</v>
      </c>
    </row>
    <row r="100" spans="2:22">
      <c r="B100" s="170" t="s">
        <v>236</v>
      </c>
      <c r="C100" s="174">
        <v>5.6</v>
      </c>
      <c r="D100" s="174">
        <v>10.7</v>
      </c>
      <c r="E100" s="174">
        <v>17.2</v>
      </c>
      <c r="F100" s="174">
        <v>27.1</v>
      </c>
      <c r="G100" s="175">
        <v>34.9</v>
      </c>
      <c r="M100" s="200">
        <v>0.1</v>
      </c>
      <c r="N100" s="174">
        <v>0.3</v>
      </c>
      <c r="O100" s="174">
        <v>3</v>
      </c>
      <c r="P100" s="174">
        <v>6.3</v>
      </c>
      <c r="Q100" s="175">
        <v>7.4</v>
      </c>
      <c r="R100" s="174">
        <f t="shared" si="6"/>
        <v>5.6999999999999993</v>
      </c>
      <c r="S100" s="174">
        <f t="shared" si="7"/>
        <v>11</v>
      </c>
      <c r="T100" s="174">
        <f t="shared" si="8"/>
        <v>20.2</v>
      </c>
      <c r="U100" s="174">
        <f t="shared" si="9"/>
        <v>33.4</v>
      </c>
      <c r="V100" s="175">
        <f t="shared" si="10"/>
        <v>42.3</v>
      </c>
    </row>
    <row r="101" spans="2:22">
      <c r="B101" s="170" t="s">
        <v>263</v>
      </c>
      <c r="C101" s="174">
        <v>0</v>
      </c>
      <c r="D101" s="174">
        <v>0</v>
      </c>
      <c r="E101" s="174">
        <v>0</v>
      </c>
      <c r="F101" s="174">
        <v>0</v>
      </c>
      <c r="G101" s="175">
        <v>0.1</v>
      </c>
      <c r="M101" s="200">
        <v>0</v>
      </c>
      <c r="N101" s="174">
        <v>0</v>
      </c>
      <c r="O101" s="174">
        <v>0</v>
      </c>
      <c r="P101" s="174">
        <v>0</v>
      </c>
      <c r="Q101" s="175">
        <v>0</v>
      </c>
      <c r="R101" s="174">
        <f t="shared" si="6"/>
        <v>0</v>
      </c>
      <c r="S101" s="174">
        <f t="shared" si="7"/>
        <v>0</v>
      </c>
      <c r="T101" s="174">
        <f t="shared" si="8"/>
        <v>0</v>
      </c>
      <c r="U101" s="174">
        <f t="shared" si="9"/>
        <v>0</v>
      </c>
      <c r="V101" s="175">
        <f t="shared" si="10"/>
        <v>0.1</v>
      </c>
    </row>
    <row r="102" spans="2:22">
      <c r="B102" s="170" t="s">
        <v>295</v>
      </c>
      <c r="C102" s="174">
        <v>4.0999999999999996</v>
      </c>
      <c r="D102" s="174">
        <v>8.8000000000000007</v>
      </c>
      <c r="E102" s="174">
        <v>13.8</v>
      </c>
      <c r="F102" s="174">
        <v>20.2</v>
      </c>
      <c r="G102" s="175">
        <v>23.9</v>
      </c>
      <c r="M102" s="200">
        <v>0</v>
      </c>
      <c r="N102" s="174">
        <v>0.1</v>
      </c>
      <c r="O102" s="174">
        <v>1.7</v>
      </c>
      <c r="P102" s="174">
        <v>3.5</v>
      </c>
      <c r="Q102" s="175">
        <v>4.2</v>
      </c>
      <c r="R102" s="174">
        <f t="shared" si="6"/>
        <v>4.0999999999999996</v>
      </c>
      <c r="S102" s="174">
        <f t="shared" si="7"/>
        <v>8.9</v>
      </c>
      <c r="T102" s="174">
        <f t="shared" si="8"/>
        <v>15.5</v>
      </c>
      <c r="U102" s="174">
        <f t="shared" si="9"/>
        <v>23.7</v>
      </c>
      <c r="V102" s="175">
        <f t="shared" si="10"/>
        <v>28.099999999999998</v>
      </c>
    </row>
    <row r="103" spans="2:22">
      <c r="B103" s="170" t="s">
        <v>298</v>
      </c>
      <c r="C103" s="174">
        <v>1.9</v>
      </c>
      <c r="D103" s="174">
        <v>2.9</v>
      </c>
      <c r="E103" s="174">
        <v>3.5</v>
      </c>
      <c r="F103" s="174">
        <v>4.2</v>
      </c>
      <c r="G103" s="175">
        <v>4.5</v>
      </c>
      <c r="M103" s="200">
        <v>0</v>
      </c>
      <c r="N103" s="174">
        <v>0.1</v>
      </c>
      <c r="O103" s="174">
        <v>1.1000000000000001</v>
      </c>
      <c r="P103" s="174">
        <v>2.2999999999999998</v>
      </c>
      <c r="Q103" s="175">
        <v>2.7</v>
      </c>
      <c r="R103" s="174">
        <f t="shared" si="6"/>
        <v>1.9</v>
      </c>
      <c r="S103" s="174">
        <f t="shared" si="7"/>
        <v>3</v>
      </c>
      <c r="T103" s="174">
        <f t="shared" si="8"/>
        <v>4.5999999999999996</v>
      </c>
      <c r="U103" s="174">
        <f t="shared" si="9"/>
        <v>6.5</v>
      </c>
      <c r="V103" s="175">
        <f t="shared" si="10"/>
        <v>7.2</v>
      </c>
    </row>
    <row r="104" spans="2:22">
      <c r="B104" s="170" t="s">
        <v>347</v>
      </c>
      <c r="C104" s="174">
        <v>5.7</v>
      </c>
      <c r="D104" s="174">
        <v>11</v>
      </c>
      <c r="E104" s="174">
        <v>16.8</v>
      </c>
      <c r="F104" s="174">
        <v>25.7</v>
      </c>
      <c r="G104" s="175">
        <v>33.6</v>
      </c>
      <c r="M104" s="200">
        <v>0.1</v>
      </c>
      <c r="N104" s="174">
        <v>0.4</v>
      </c>
      <c r="O104" s="174">
        <v>4.3</v>
      </c>
      <c r="P104" s="174">
        <v>8.9</v>
      </c>
      <c r="Q104" s="175">
        <v>10.4</v>
      </c>
      <c r="R104" s="174">
        <f t="shared" si="6"/>
        <v>5.8</v>
      </c>
      <c r="S104" s="174">
        <f t="shared" si="7"/>
        <v>11.4</v>
      </c>
      <c r="T104" s="174">
        <f t="shared" si="8"/>
        <v>21.1</v>
      </c>
      <c r="U104" s="174">
        <f t="shared" si="9"/>
        <v>34.6</v>
      </c>
      <c r="V104" s="175">
        <f t="shared" si="10"/>
        <v>44</v>
      </c>
    </row>
    <row r="105" spans="2:22">
      <c r="B105" s="170" t="s">
        <v>111</v>
      </c>
      <c r="C105" s="174">
        <v>9.6</v>
      </c>
      <c r="D105" s="174">
        <v>18.7</v>
      </c>
      <c r="E105" s="174">
        <v>28.6</v>
      </c>
      <c r="F105" s="174">
        <v>42.1</v>
      </c>
      <c r="G105" s="175">
        <v>51.3</v>
      </c>
      <c r="M105" s="200">
        <v>0.1</v>
      </c>
      <c r="N105" s="174">
        <v>0.3</v>
      </c>
      <c r="O105" s="174">
        <v>3.5</v>
      </c>
      <c r="P105" s="174">
        <v>7.3</v>
      </c>
      <c r="Q105" s="175">
        <v>8.6</v>
      </c>
      <c r="R105" s="174">
        <f t="shared" si="6"/>
        <v>9.6999999999999993</v>
      </c>
      <c r="S105" s="174">
        <f t="shared" si="7"/>
        <v>19</v>
      </c>
      <c r="T105" s="174">
        <f t="shared" si="8"/>
        <v>32.1</v>
      </c>
      <c r="U105" s="174">
        <f t="shared" si="9"/>
        <v>49.4</v>
      </c>
      <c r="V105" s="175">
        <f t="shared" si="10"/>
        <v>59.9</v>
      </c>
    </row>
    <row r="106" spans="2:22">
      <c r="B106" s="170" t="s">
        <v>115</v>
      </c>
      <c r="C106" s="174">
        <v>3.5</v>
      </c>
      <c r="D106" s="174">
        <v>5.2</v>
      </c>
      <c r="E106" s="174">
        <v>6.1</v>
      </c>
      <c r="F106" s="174">
        <v>7.3</v>
      </c>
      <c r="G106" s="175">
        <v>8.3000000000000007</v>
      </c>
      <c r="M106" s="200">
        <v>0.1</v>
      </c>
      <c r="N106" s="174">
        <v>0.3</v>
      </c>
      <c r="O106" s="174">
        <v>5.3</v>
      </c>
      <c r="P106" s="174">
        <v>10.4</v>
      </c>
      <c r="Q106" s="175">
        <v>13.2</v>
      </c>
      <c r="R106" s="174">
        <f t="shared" si="6"/>
        <v>3.6</v>
      </c>
      <c r="S106" s="174">
        <f t="shared" si="7"/>
        <v>5.5</v>
      </c>
      <c r="T106" s="174">
        <f t="shared" si="8"/>
        <v>11.399999999999999</v>
      </c>
      <c r="U106" s="174">
        <f t="shared" si="9"/>
        <v>17.7</v>
      </c>
      <c r="V106" s="175">
        <f t="shared" si="10"/>
        <v>21.5</v>
      </c>
    </row>
    <row r="107" spans="2:22">
      <c r="B107" s="170" t="s">
        <v>160</v>
      </c>
      <c r="C107" s="174">
        <v>0.5</v>
      </c>
      <c r="D107" s="174">
        <v>0.9</v>
      </c>
      <c r="E107" s="174">
        <v>1.2</v>
      </c>
      <c r="F107" s="174">
        <v>1.5</v>
      </c>
      <c r="G107" s="175">
        <v>1.7</v>
      </c>
      <c r="M107" s="200">
        <v>0</v>
      </c>
      <c r="N107" s="174">
        <v>0</v>
      </c>
      <c r="O107" s="174">
        <v>0.4</v>
      </c>
      <c r="P107" s="174">
        <v>0.8</v>
      </c>
      <c r="Q107" s="175">
        <v>1</v>
      </c>
      <c r="R107" s="174">
        <f t="shared" si="6"/>
        <v>0.5</v>
      </c>
      <c r="S107" s="174">
        <f t="shared" si="7"/>
        <v>0.9</v>
      </c>
      <c r="T107" s="174">
        <f t="shared" si="8"/>
        <v>1.6</v>
      </c>
      <c r="U107" s="174">
        <f t="shared" si="9"/>
        <v>2.2999999999999998</v>
      </c>
      <c r="V107" s="175">
        <f t="shared" si="10"/>
        <v>2.7</v>
      </c>
    </row>
    <row r="108" spans="2:22">
      <c r="B108" s="170" t="s">
        <v>256</v>
      </c>
      <c r="C108" s="174">
        <v>1.4</v>
      </c>
      <c r="D108" s="174">
        <v>2.2999999999999998</v>
      </c>
      <c r="E108" s="174">
        <v>3.1</v>
      </c>
      <c r="F108" s="174">
        <v>3.9</v>
      </c>
      <c r="G108" s="175">
        <v>4.5</v>
      </c>
      <c r="M108" s="200">
        <v>0</v>
      </c>
      <c r="N108" s="174">
        <v>0</v>
      </c>
      <c r="O108" s="174">
        <v>0</v>
      </c>
      <c r="P108" s="174">
        <v>0</v>
      </c>
      <c r="Q108" s="175">
        <v>0</v>
      </c>
      <c r="R108" s="174">
        <f t="shared" si="6"/>
        <v>1.4</v>
      </c>
      <c r="S108" s="174">
        <f t="shared" si="7"/>
        <v>2.2999999999999998</v>
      </c>
      <c r="T108" s="174">
        <f t="shared" si="8"/>
        <v>3.1</v>
      </c>
      <c r="U108" s="174">
        <f t="shared" si="9"/>
        <v>3.9</v>
      </c>
      <c r="V108" s="175">
        <f t="shared" si="10"/>
        <v>4.5</v>
      </c>
    </row>
    <row r="109" spans="2:22">
      <c r="B109" s="170" t="s">
        <v>259</v>
      </c>
      <c r="C109" s="174">
        <v>1.4</v>
      </c>
      <c r="D109" s="174">
        <v>3.4</v>
      </c>
      <c r="E109" s="174">
        <v>6.7</v>
      </c>
      <c r="F109" s="174">
        <v>10.4</v>
      </c>
      <c r="G109" s="175">
        <v>13.9</v>
      </c>
      <c r="M109" s="200">
        <v>0</v>
      </c>
      <c r="N109" s="174">
        <v>0.1</v>
      </c>
      <c r="O109" s="174">
        <v>1.4</v>
      </c>
      <c r="P109" s="174">
        <v>2.9</v>
      </c>
      <c r="Q109" s="175">
        <v>3.5</v>
      </c>
      <c r="R109" s="174">
        <f t="shared" si="6"/>
        <v>1.4</v>
      </c>
      <c r="S109" s="174">
        <f t="shared" si="7"/>
        <v>3.5</v>
      </c>
      <c r="T109" s="174">
        <f t="shared" si="8"/>
        <v>8.1</v>
      </c>
      <c r="U109" s="174">
        <f t="shared" si="9"/>
        <v>13.3</v>
      </c>
      <c r="V109" s="175">
        <f t="shared" si="10"/>
        <v>17.399999999999999</v>
      </c>
    </row>
    <row r="110" spans="2:22">
      <c r="B110" s="170" t="s">
        <v>117</v>
      </c>
      <c r="C110" s="174">
        <v>7.2</v>
      </c>
      <c r="D110" s="174">
        <v>15.7</v>
      </c>
      <c r="E110" s="174">
        <v>22.8</v>
      </c>
      <c r="F110" s="174">
        <v>32.200000000000003</v>
      </c>
      <c r="G110" s="175">
        <v>40.299999999999997</v>
      </c>
      <c r="M110" s="200">
        <v>0</v>
      </c>
      <c r="N110" s="174">
        <v>0.2</v>
      </c>
      <c r="O110" s="174">
        <v>2</v>
      </c>
      <c r="P110" s="174">
        <v>4.0999999999999996</v>
      </c>
      <c r="Q110" s="175">
        <v>4.8</v>
      </c>
      <c r="R110" s="174">
        <f t="shared" si="6"/>
        <v>7.2</v>
      </c>
      <c r="S110" s="174">
        <f t="shared" si="7"/>
        <v>15.899999999999999</v>
      </c>
      <c r="T110" s="174">
        <f t="shared" si="8"/>
        <v>24.8</v>
      </c>
      <c r="U110" s="174">
        <f t="shared" si="9"/>
        <v>36.300000000000004</v>
      </c>
      <c r="V110" s="175">
        <f t="shared" si="10"/>
        <v>45.099999999999994</v>
      </c>
    </row>
    <row r="111" spans="2:22">
      <c r="B111" s="170" t="s">
        <v>119</v>
      </c>
      <c r="C111" s="174">
        <v>28.8</v>
      </c>
      <c r="D111" s="174">
        <v>61.5</v>
      </c>
      <c r="E111" s="174">
        <v>106.4</v>
      </c>
      <c r="F111" s="174">
        <v>169</v>
      </c>
      <c r="G111" s="175">
        <v>212.8</v>
      </c>
      <c r="M111" s="200">
        <v>0.6</v>
      </c>
      <c r="N111" s="174">
        <v>2.4</v>
      </c>
      <c r="O111" s="174">
        <v>32.200000000000003</v>
      </c>
      <c r="P111" s="174">
        <v>65.7</v>
      </c>
      <c r="Q111" s="175">
        <v>79.8</v>
      </c>
      <c r="R111" s="174">
        <f t="shared" si="6"/>
        <v>29.400000000000002</v>
      </c>
      <c r="S111" s="174">
        <f t="shared" si="7"/>
        <v>63.9</v>
      </c>
      <c r="T111" s="174">
        <f t="shared" si="8"/>
        <v>138.60000000000002</v>
      </c>
      <c r="U111" s="174">
        <f t="shared" si="9"/>
        <v>234.7</v>
      </c>
      <c r="V111" s="175">
        <f t="shared" si="10"/>
        <v>292.60000000000002</v>
      </c>
    </row>
    <row r="112" spans="2:22">
      <c r="B112" s="170" t="s">
        <v>113</v>
      </c>
      <c r="C112" s="174">
        <v>109.3</v>
      </c>
      <c r="D112" s="174">
        <v>192</v>
      </c>
      <c r="E112" s="174">
        <v>244</v>
      </c>
      <c r="F112" s="174">
        <v>360.8</v>
      </c>
      <c r="G112" s="175">
        <v>394.9</v>
      </c>
      <c r="M112" s="200">
        <v>0.7</v>
      </c>
      <c r="N112" s="174">
        <v>2.9</v>
      </c>
      <c r="O112" s="174">
        <v>30.3</v>
      </c>
      <c r="P112" s="174">
        <v>62.3</v>
      </c>
      <c r="Q112" s="175">
        <v>74.099999999999994</v>
      </c>
      <c r="R112" s="174">
        <f t="shared" si="6"/>
        <v>110</v>
      </c>
      <c r="S112" s="174">
        <f t="shared" si="7"/>
        <v>194.9</v>
      </c>
      <c r="T112" s="174">
        <f t="shared" si="8"/>
        <v>274.3</v>
      </c>
      <c r="U112" s="174">
        <f t="shared" si="9"/>
        <v>423.1</v>
      </c>
      <c r="V112" s="175">
        <f t="shared" si="10"/>
        <v>469</v>
      </c>
    </row>
    <row r="113" spans="2:22">
      <c r="B113" s="170" t="s">
        <v>123</v>
      </c>
      <c r="C113" s="174">
        <v>27.8</v>
      </c>
      <c r="D113" s="174">
        <v>49.1</v>
      </c>
      <c r="E113" s="174">
        <v>75.400000000000006</v>
      </c>
      <c r="F113" s="174">
        <v>110.7</v>
      </c>
      <c r="G113" s="175">
        <v>138.80000000000001</v>
      </c>
      <c r="M113" s="200">
        <v>0.3</v>
      </c>
      <c r="N113" s="174">
        <v>1.8</v>
      </c>
      <c r="O113" s="174">
        <v>17.399999999999999</v>
      </c>
      <c r="P113" s="174">
        <v>35</v>
      </c>
      <c r="Q113" s="175">
        <v>42.5</v>
      </c>
      <c r="R113" s="174">
        <f t="shared" si="6"/>
        <v>28.1</v>
      </c>
      <c r="S113" s="174">
        <f t="shared" si="7"/>
        <v>50.9</v>
      </c>
      <c r="T113" s="174">
        <f t="shared" si="8"/>
        <v>92.800000000000011</v>
      </c>
      <c r="U113" s="174">
        <f t="shared" si="9"/>
        <v>145.69999999999999</v>
      </c>
      <c r="V113" s="175">
        <f t="shared" si="10"/>
        <v>181.3</v>
      </c>
    </row>
    <row r="114" spans="2:22">
      <c r="B114" s="170" t="s">
        <v>125</v>
      </c>
      <c r="C114" s="174">
        <v>24.8</v>
      </c>
      <c r="D114" s="174">
        <v>44.9</v>
      </c>
      <c r="E114" s="174">
        <v>80.3</v>
      </c>
      <c r="F114" s="174">
        <v>135.69999999999999</v>
      </c>
      <c r="G114" s="175">
        <v>178.3</v>
      </c>
      <c r="M114" s="200">
        <v>0.1</v>
      </c>
      <c r="N114" s="174">
        <v>0.6</v>
      </c>
      <c r="O114" s="174">
        <v>6.3</v>
      </c>
      <c r="P114" s="174">
        <v>12.9</v>
      </c>
      <c r="Q114" s="175">
        <v>15.3</v>
      </c>
      <c r="R114" s="174">
        <f t="shared" si="6"/>
        <v>24.900000000000002</v>
      </c>
      <c r="S114" s="174">
        <f t="shared" si="7"/>
        <v>45.5</v>
      </c>
      <c r="T114" s="174">
        <f t="shared" si="8"/>
        <v>86.6</v>
      </c>
      <c r="U114" s="174">
        <f t="shared" si="9"/>
        <v>148.6</v>
      </c>
      <c r="V114" s="175">
        <f t="shared" si="10"/>
        <v>193.60000000000002</v>
      </c>
    </row>
    <row r="115" spans="2:22">
      <c r="B115" s="170" t="s">
        <v>129</v>
      </c>
      <c r="C115" s="174">
        <v>17</v>
      </c>
      <c r="D115" s="174">
        <v>36.200000000000003</v>
      </c>
      <c r="E115" s="174">
        <v>60.4</v>
      </c>
      <c r="F115" s="174">
        <v>88.7</v>
      </c>
      <c r="G115" s="175">
        <v>109.3</v>
      </c>
      <c r="M115" s="200">
        <v>0.4</v>
      </c>
      <c r="N115" s="174">
        <v>1.3</v>
      </c>
      <c r="O115" s="174">
        <v>15.3</v>
      </c>
      <c r="P115" s="174">
        <v>32.1</v>
      </c>
      <c r="Q115" s="175">
        <v>37.9</v>
      </c>
      <c r="R115" s="174">
        <f t="shared" si="6"/>
        <v>17.399999999999999</v>
      </c>
      <c r="S115" s="174">
        <f t="shared" si="7"/>
        <v>37.5</v>
      </c>
      <c r="T115" s="174">
        <f t="shared" si="8"/>
        <v>75.7</v>
      </c>
      <c r="U115" s="174">
        <f t="shared" si="9"/>
        <v>120.80000000000001</v>
      </c>
      <c r="V115" s="175">
        <f t="shared" si="10"/>
        <v>147.19999999999999</v>
      </c>
    </row>
    <row r="116" spans="2:22">
      <c r="B116" s="170" t="s">
        <v>288</v>
      </c>
      <c r="C116" s="174">
        <v>4.7</v>
      </c>
      <c r="D116" s="174">
        <v>8.1</v>
      </c>
      <c r="E116" s="174">
        <v>11.6</v>
      </c>
      <c r="F116" s="174">
        <v>16.7</v>
      </c>
      <c r="G116" s="175">
        <v>20.9</v>
      </c>
      <c r="M116" s="200">
        <v>0.1</v>
      </c>
      <c r="N116" s="174">
        <v>0.3</v>
      </c>
      <c r="O116" s="174">
        <v>3.6</v>
      </c>
      <c r="P116" s="174">
        <v>7.3</v>
      </c>
      <c r="Q116" s="175">
        <v>8.8000000000000007</v>
      </c>
      <c r="R116" s="174">
        <f t="shared" si="6"/>
        <v>4.8</v>
      </c>
      <c r="S116" s="174">
        <f t="shared" si="7"/>
        <v>8.4</v>
      </c>
      <c r="T116" s="174">
        <f t="shared" si="8"/>
        <v>15.2</v>
      </c>
      <c r="U116" s="174">
        <f t="shared" si="9"/>
        <v>24</v>
      </c>
      <c r="V116" s="175">
        <f t="shared" si="10"/>
        <v>29.7</v>
      </c>
    </row>
    <row r="117" spans="2:22">
      <c r="B117" s="170" t="s">
        <v>301</v>
      </c>
      <c r="C117" s="174">
        <v>10.8</v>
      </c>
      <c r="D117" s="174">
        <v>23.8</v>
      </c>
      <c r="E117" s="174">
        <v>43.1</v>
      </c>
      <c r="F117" s="174">
        <v>71.2</v>
      </c>
      <c r="G117" s="175">
        <v>92.4</v>
      </c>
      <c r="M117" s="200">
        <v>0.4</v>
      </c>
      <c r="N117" s="174">
        <v>1.7</v>
      </c>
      <c r="O117" s="174">
        <v>20.3</v>
      </c>
      <c r="P117" s="174">
        <v>40.9</v>
      </c>
      <c r="Q117" s="175">
        <v>50</v>
      </c>
      <c r="R117" s="174">
        <f t="shared" si="6"/>
        <v>11.200000000000001</v>
      </c>
      <c r="S117" s="174">
        <f t="shared" si="7"/>
        <v>25.5</v>
      </c>
      <c r="T117" s="174">
        <f t="shared" si="8"/>
        <v>63.400000000000006</v>
      </c>
      <c r="U117" s="174">
        <f t="shared" si="9"/>
        <v>112.1</v>
      </c>
      <c r="V117" s="175">
        <f t="shared" si="10"/>
        <v>142.4</v>
      </c>
    </row>
    <row r="118" spans="2:22">
      <c r="B118" s="170" t="s">
        <v>131</v>
      </c>
      <c r="C118" s="174">
        <v>8.3000000000000007</v>
      </c>
      <c r="D118" s="174">
        <v>15.7</v>
      </c>
      <c r="E118" s="174">
        <v>24.4</v>
      </c>
      <c r="F118" s="174">
        <v>37.5</v>
      </c>
      <c r="G118" s="175">
        <v>48.3</v>
      </c>
      <c r="M118" s="200">
        <v>0.1</v>
      </c>
      <c r="N118" s="174">
        <v>0.3</v>
      </c>
      <c r="O118" s="174">
        <v>5</v>
      </c>
      <c r="P118" s="174">
        <v>9.8000000000000007</v>
      </c>
      <c r="Q118" s="175">
        <v>12.5</v>
      </c>
      <c r="R118" s="174">
        <f t="shared" si="6"/>
        <v>8.4</v>
      </c>
      <c r="S118" s="174">
        <f t="shared" si="7"/>
        <v>16</v>
      </c>
      <c r="T118" s="174">
        <f t="shared" si="8"/>
        <v>29.4</v>
      </c>
      <c r="U118" s="174">
        <f t="shared" si="9"/>
        <v>47.3</v>
      </c>
      <c r="V118" s="175">
        <f t="shared" si="10"/>
        <v>60.8</v>
      </c>
    </row>
    <row r="119" spans="2:22">
      <c r="B119" s="171" t="s">
        <v>367</v>
      </c>
      <c r="C119" s="174">
        <v>31.8</v>
      </c>
      <c r="D119" s="174">
        <v>49.5</v>
      </c>
      <c r="E119" s="174">
        <v>77.7</v>
      </c>
      <c r="F119" s="174">
        <v>114.3</v>
      </c>
      <c r="G119" s="175">
        <v>143.5</v>
      </c>
      <c r="M119" s="200">
        <v>0.2</v>
      </c>
      <c r="N119" s="174">
        <v>1.8</v>
      </c>
      <c r="O119" s="174">
        <v>13.3</v>
      </c>
      <c r="P119" s="174">
        <v>26.2</v>
      </c>
      <c r="Q119" s="175">
        <v>31.5</v>
      </c>
      <c r="R119" s="174">
        <f t="shared" si="6"/>
        <v>32</v>
      </c>
      <c r="S119" s="174">
        <f t="shared" si="7"/>
        <v>51.3</v>
      </c>
      <c r="T119" s="174">
        <f t="shared" si="8"/>
        <v>91</v>
      </c>
      <c r="U119" s="174">
        <f t="shared" si="9"/>
        <v>140.5</v>
      </c>
      <c r="V119" s="175">
        <f t="shared" si="10"/>
        <v>175</v>
      </c>
    </row>
    <row r="120" spans="2:22" ht="15.75" thickBot="1">
      <c r="B120" s="170" t="s">
        <v>243</v>
      </c>
      <c r="C120" s="174">
        <v>2.5</v>
      </c>
      <c r="D120" s="174">
        <v>4.0999999999999996</v>
      </c>
      <c r="E120" s="174">
        <v>5.4</v>
      </c>
      <c r="F120" s="174">
        <v>6.4</v>
      </c>
      <c r="G120" s="175">
        <v>7</v>
      </c>
      <c r="M120" s="200">
        <v>0.1</v>
      </c>
      <c r="N120" s="174">
        <v>0.2</v>
      </c>
      <c r="O120" s="174">
        <v>2.6</v>
      </c>
      <c r="P120" s="174">
        <v>5.5</v>
      </c>
      <c r="Q120" s="175">
        <v>6.5</v>
      </c>
      <c r="R120" s="174">
        <f t="shared" si="6"/>
        <v>2.6</v>
      </c>
      <c r="S120" s="174">
        <f t="shared" si="7"/>
        <v>4.3</v>
      </c>
      <c r="T120" s="174">
        <f t="shared" si="8"/>
        <v>8</v>
      </c>
      <c r="U120" s="174">
        <f t="shared" si="9"/>
        <v>11.9</v>
      </c>
      <c r="V120" s="175">
        <f t="shared" si="10"/>
        <v>13.5</v>
      </c>
    </row>
    <row r="121" spans="2:22" s="87" customFormat="1">
      <c r="B121" s="196" t="s">
        <v>52</v>
      </c>
      <c r="C121" s="197">
        <v>335.7</v>
      </c>
      <c r="D121" s="197">
        <v>623.29999999999995</v>
      </c>
      <c r="E121" s="197">
        <v>945.4</v>
      </c>
      <c r="F121" s="197">
        <v>1437.9</v>
      </c>
      <c r="G121" s="198">
        <v>1757.8</v>
      </c>
      <c r="H121" s="197">
        <v>0.9</v>
      </c>
      <c r="I121" s="197">
        <v>59.9</v>
      </c>
      <c r="J121" s="197">
        <v>258.89999999999998</v>
      </c>
      <c r="K121" s="197">
        <v>440.4</v>
      </c>
      <c r="L121" s="197">
        <v>503.3</v>
      </c>
      <c r="M121" s="203">
        <v>3.7</v>
      </c>
      <c r="N121" s="197">
        <v>16.899999999999999</v>
      </c>
      <c r="O121" s="197">
        <v>185.6</v>
      </c>
      <c r="P121" s="197">
        <v>378.5</v>
      </c>
      <c r="Q121" s="198">
        <v>455.9</v>
      </c>
      <c r="R121" s="197">
        <f t="shared" si="6"/>
        <v>340.3</v>
      </c>
      <c r="S121" s="197">
        <f t="shared" si="7"/>
        <v>700.09999999999991</v>
      </c>
      <c r="T121" s="197">
        <f t="shared" si="8"/>
        <v>1389.9</v>
      </c>
      <c r="U121" s="197">
        <f t="shared" si="9"/>
        <v>2256.8000000000002</v>
      </c>
      <c r="V121" s="198">
        <f t="shared" si="10"/>
        <v>2717</v>
      </c>
    </row>
    <row r="122" spans="2:22">
      <c r="B122" s="171" t="s">
        <v>101</v>
      </c>
      <c r="C122" s="174">
        <v>7.2</v>
      </c>
      <c r="D122" s="174">
        <v>14.9</v>
      </c>
      <c r="E122" s="174">
        <v>22.7</v>
      </c>
      <c r="F122" s="174">
        <v>32.799999999999997</v>
      </c>
      <c r="G122" s="175">
        <v>39.799999999999997</v>
      </c>
      <c r="H122" s="174">
        <v>0</v>
      </c>
      <c r="I122" s="174">
        <v>0</v>
      </c>
      <c r="J122" s="174">
        <v>0.3</v>
      </c>
      <c r="K122" s="174">
        <v>0.5</v>
      </c>
      <c r="L122" s="174">
        <v>0.5</v>
      </c>
      <c r="M122" s="200">
        <v>0.1</v>
      </c>
      <c r="N122" s="174">
        <v>0.4</v>
      </c>
      <c r="O122" s="174">
        <v>4.4000000000000004</v>
      </c>
      <c r="P122" s="174">
        <v>9.3000000000000007</v>
      </c>
      <c r="Q122" s="175">
        <v>10.9</v>
      </c>
      <c r="R122" s="174">
        <f t="shared" si="6"/>
        <v>7.3</v>
      </c>
      <c r="S122" s="174">
        <f t="shared" si="7"/>
        <v>15.3</v>
      </c>
      <c r="T122" s="174">
        <f t="shared" si="8"/>
        <v>27.4</v>
      </c>
      <c r="U122" s="174">
        <f t="shared" si="9"/>
        <v>42.599999999999994</v>
      </c>
      <c r="V122" s="175">
        <f t="shared" si="10"/>
        <v>51.199999999999996</v>
      </c>
    </row>
    <row r="123" spans="2:22">
      <c r="B123" s="171" t="s">
        <v>146</v>
      </c>
      <c r="C123" s="174">
        <v>14.1</v>
      </c>
      <c r="D123" s="174">
        <v>30.5</v>
      </c>
      <c r="E123" s="174">
        <v>55</v>
      </c>
      <c r="F123" s="174">
        <v>92.3</v>
      </c>
      <c r="G123" s="175">
        <v>121.8</v>
      </c>
      <c r="H123" s="174">
        <v>0</v>
      </c>
      <c r="I123" s="174">
        <v>0.5</v>
      </c>
      <c r="J123" s="174">
        <v>5.4</v>
      </c>
      <c r="K123" s="174">
        <v>13.2</v>
      </c>
      <c r="L123" s="174">
        <v>17.600000000000001</v>
      </c>
      <c r="M123" s="200">
        <v>0.1</v>
      </c>
      <c r="N123" s="174">
        <v>0.5</v>
      </c>
      <c r="O123" s="174">
        <v>5.4</v>
      </c>
      <c r="P123" s="174">
        <v>11.3</v>
      </c>
      <c r="Q123" s="175">
        <v>13.4</v>
      </c>
      <c r="R123" s="174">
        <f t="shared" si="6"/>
        <v>14.2</v>
      </c>
      <c r="S123" s="174">
        <f t="shared" si="7"/>
        <v>31.5</v>
      </c>
      <c r="T123" s="174">
        <f t="shared" si="8"/>
        <v>65.8</v>
      </c>
      <c r="U123" s="174">
        <f t="shared" si="9"/>
        <v>116.8</v>
      </c>
      <c r="V123" s="175">
        <f t="shared" si="10"/>
        <v>152.80000000000001</v>
      </c>
    </row>
    <row r="124" spans="2:22">
      <c r="B124" s="171" t="s">
        <v>356</v>
      </c>
      <c r="C124" s="174">
        <v>2.6</v>
      </c>
      <c r="D124" s="174">
        <v>4.3</v>
      </c>
      <c r="E124" s="174">
        <v>6.1</v>
      </c>
      <c r="F124" s="174">
        <v>9</v>
      </c>
      <c r="G124" s="175">
        <v>11.6</v>
      </c>
      <c r="H124" s="174">
        <v>0</v>
      </c>
      <c r="I124" s="174">
        <v>0</v>
      </c>
      <c r="J124" s="174">
        <v>0</v>
      </c>
      <c r="K124" s="174">
        <v>0</v>
      </c>
      <c r="L124" s="174">
        <v>0</v>
      </c>
      <c r="M124" s="200">
        <v>0</v>
      </c>
      <c r="N124" s="174">
        <v>0.1</v>
      </c>
      <c r="O124" s="174">
        <v>1.8</v>
      </c>
      <c r="P124" s="174">
        <v>3.7</v>
      </c>
      <c r="Q124" s="175">
        <v>4.4000000000000004</v>
      </c>
      <c r="R124" s="174">
        <f t="shared" si="6"/>
        <v>2.6</v>
      </c>
      <c r="S124" s="174">
        <f t="shared" si="7"/>
        <v>4.3999999999999995</v>
      </c>
      <c r="T124" s="174">
        <f t="shared" si="8"/>
        <v>7.8999999999999995</v>
      </c>
      <c r="U124" s="174">
        <f t="shared" si="9"/>
        <v>12.7</v>
      </c>
      <c r="V124" s="175">
        <f t="shared" si="10"/>
        <v>16</v>
      </c>
    </row>
    <row r="125" spans="2:22">
      <c r="B125" s="171" t="s">
        <v>361</v>
      </c>
      <c r="C125" s="174">
        <v>1.5</v>
      </c>
      <c r="D125" s="174">
        <v>2.4</v>
      </c>
      <c r="E125" s="174">
        <v>3.3</v>
      </c>
      <c r="F125" s="174">
        <v>4.0999999999999996</v>
      </c>
      <c r="G125" s="175">
        <v>4.9000000000000004</v>
      </c>
      <c r="H125" s="174">
        <v>0</v>
      </c>
      <c r="I125" s="174">
        <v>0</v>
      </c>
      <c r="J125" s="174">
        <v>0.3</v>
      </c>
      <c r="K125" s="174">
        <v>0.6</v>
      </c>
      <c r="L125" s="174">
        <v>0.6</v>
      </c>
      <c r="M125" s="200">
        <v>0</v>
      </c>
      <c r="N125" s="174">
        <v>0.1</v>
      </c>
      <c r="O125" s="174">
        <v>1.1000000000000001</v>
      </c>
      <c r="P125" s="174">
        <v>2.2999999999999998</v>
      </c>
      <c r="Q125" s="175">
        <v>2.7</v>
      </c>
      <c r="R125" s="174">
        <f t="shared" si="6"/>
        <v>1.5</v>
      </c>
      <c r="S125" s="174">
        <f t="shared" si="7"/>
        <v>2.5</v>
      </c>
      <c r="T125" s="174">
        <f t="shared" si="8"/>
        <v>4.7</v>
      </c>
      <c r="U125" s="174">
        <f t="shared" si="9"/>
        <v>7</v>
      </c>
      <c r="V125" s="175">
        <f t="shared" si="10"/>
        <v>8.2000000000000011</v>
      </c>
    </row>
    <row r="126" spans="2:22">
      <c r="B126" s="171" t="s">
        <v>153</v>
      </c>
      <c r="C126" s="174">
        <v>0.1</v>
      </c>
      <c r="D126" s="174">
        <v>0.2</v>
      </c>
      <c r="E126" s="174">
        <v>0.4</v>
      </c>
      <c r="F126" s="174">
        <v>0.8</v>
      </c>
      <c r="G126" s="175">
        <v>0.9</v>
      </c>
      <c r="H126" s="174">
        <v>0</v>
      </c>
      <c r="I126" s="174">
        <v>0</v>
      </c>
      <c r="J126" s="174">
        <v>0</v>
      </c>
      <c r="K126" s="174">
        <v>0</v>
      </c>
      <c r="L126" s="174">
        <v>0</v>
      </c>
      <c r="M126" s="200">
        <v>0</v>
      </c>
      <c r="N126" s="174">
        <v>0</v>
      </c>
      <c r="O126" s="174">
        <v>0.9</v>
      </c>
      <c r="P126" s="174">
        <v>1.7</v>
      </c>
      <c r="Q126" s="175">
        <v>2.2000000000000002</v>
      </c>
      <c r="R126" s="174">
        <f t="shared" si="6"/>
        <v>0.1</v>
      </c>
      <c r="S126" s="174">
        <f t="shared" si="7"/>
        <v>0.2</v>
      </c>
      <c r="T126" s="174">
        <f t="shared" si="8"/>
        <v>1.3</v>
      </c>
      <c r="U126" s="174">
        <f t="shared" si="9"/>
        <v>2.5</v>
      </c>
      <c r="V126" s="175">
        <f t="shared" si="10"/>
        <v>3.1</v>
      </c>
    </row>
    <row r="127" spans="2:22">
      <c r="B127" s="171" t="s">
        <v>111</v>
      </c>
      <c r="C127" s="174">
        <v>9.6</v>
      </c>
      <c r="D127" s="174">
        <v>18.7</v>
      </c>
      <c r="E127" s="174">
        <v>28.6</v>
      </c>
      <c r="F127" s="174">
        <v>42.1</v>
      </c>
      <c r="G127" s="175">
        <v>51.3</v>
      </c>
      <c r="H127" s="174">
        <v>0</v>
      </c>
      <c r="I127" s="174">
        <v>0</v>
      </c>
      <c r="J127" s="174">
        <v>0.7</v>
      </c>
      <c r="K127" s="174">
        <v>2.4</v>
      </c>
      <c r="L127" s="174">
        <v>4</v>
      </c>
      <c r="M127" s="200">
        <v>0.1</v>
      </c>
      <c r="N127" s="174">
        <v>0.3</v>
      </c>
      <c r="O127" s="174">
        <v>3.5</v>
      </c>
      <c r="P127" s="174">
        <v>7.3</v>
      </c>
      <c r="Q127" s="175">
        <v>8.6</v>
      </c>
      <c r="R127" s="174">
        <f t="shared" si="6"/>
        <v>9.6999999999999993</v>
      </c>
      <c r="S127" s="174">
        <f t="shared" si="7"/>
        <v>19</v>
      </c>
      <c r="T127" s="174">
        <f t="shared" si="8"/>
        <v>32.800000000000004</v>
      </c>
      <c r="U127" s="174">
        <f t="shared" si="9"/>
        <v>51.8</v>
      </c>
      <c r="V127" s="175">
        <f t="shared" si="10"/>
        <v>63.9</v>
      </c>
    </row>
    <row r="128" spans="2:22">
      <c r="B128" s="171" t="s">
        <v>115</v>
      </c>
      <c r="C128" s="174">
        <v>3.5</v>
      </c>
      <c r="D128" s="174">
        <v>5.2</v>
      </c>
      <c r="E128" s="174">
        <v>6.1</v>
      </c>
      <c r="F128" s="174">
        <v>7.3</v>
      </c>
      <c r="G128" s="175">
        <v>8.3000000000000007</v>
      </c>
      <c r="H128" s="174">
        <v>0</v>
      </c>
      <c r="I128" s="174">
        <v>0</v>
      </c>
      <c r="J128" s="174">
        <v>0</v>
      </c>
      <c r="K128" s="174">
        <v>0</v>
      </c>
      <c r="L128" s="174">
        <v>0</v>
      </c>
      <c r="M128" s="200">
        <v>0.1</v>
      </c>
      <c r="N128" s="174">
        <v>0.3</v>
      </c>
      <c r="O128" s="174">
        <v>5.3</v>
      </c>
      <c r="P128" s="174">
        <v>10.4</v>
      </c>
      <c r="Q128" s="175">
        <v>13.2</v>
      </c>
      <c r="R128" s="174">
        <f t="shared" si="6"/>
        <v>3.6</v>
      </c>
      <c r="S128" s="174">
        <f t="shared" si="7"/>
        <v>5.5</v>
      </c>
      <c r="T128" s="174">
        <f t="shared" si="8"/>
        <v>11.399999999999999</v>
      </c>
      <c r="U128" s="174">
        <f t="shared" si="9"/>
        <v>17.7</v>
      </c>
      <c r="V128" s="175">
        <f t="shared" si="10"/>
        <v>21.5</v>
      </c>
    </row>
    <row r="129" spans="2:22">
      <c r="B129" s="171" t="s">
        <v>160</v>
      </c>
      <c r="C129" s="174">
        <v>0.5</v>
      </c>
      <c r="D129" s="174">
        <v>0.9</v>
      </c>
      <c r="E129" s="174">
        <v>1.2</v>
      </c>
      <c r="F129" s="174">
        <v>1.5</v>
      </c>
      <c r="G129" s="175">
        <v>1.7</v>
      </c>
      <c r="H129" s="174">
        <v>0</v>
      </c>
      <c r="I129" s="174">
        <v>0</v>
      </c>
      <c r="J129" s="174">
        <v>0</v>
      </c>
      <c r="K129" s="174">
        <v>0.1</v>
      </c>
      <c r="L129" s="174">
        <v>0.1</v>
      </c>
      <c r="M129" s="200">
        <v>0</v>
      </c>
      <c r="N129" s="174">
        <v>0</v>
      </c>
      <c r="O129" s="174">
        <v>0.4</v>
      </c>
      <c r="P129" s="174">
        <v>0.8</v>
      </c>
      <c r="Q129" s="175">
        <v>1</v>
      </c>
      <c r="R129" s="174">
        <f t="shared" si="6"/>
        <v>0.5</v>
      </c>
      <c r="S129" s="174">
        <f t="shared" si="7"/>
        <v>0.9</v>
      </c>
      <c r="T129" s="174">
        <f t="shared" si="8"/>
        <v>1.6</v>
      </c>
      <c r="U129" s="174">
        <f t="shared" si="9"/>
        <v>2.4</v>
      </c>
      <c r="V129" s="175">
        <f t="shared" si="10"/>
        <v>2.8</v>
      </c>
    </row>
    <row r="130" spans="2:22">
      <c r="B130" s="171" t="s">
        <v>117</v>
      </c>
      <c r="C130" s="174">
        <v>7.2</v>
      </c>
      <c r="D130" s="174">
        <v>15.7</v>
      </c>
      <c r="E130" s="174">
        <v>22.8</v>
      </c>
      <c r="F130" s="174">
        <v>32.200000000000003</v>
      </c>
      <c r="G130" s="175">
        <v>40.299999999999997</v>
      </c>
      <c r="H130" s="174">
        <v>0</v>
      </c>
      <c r="I130" s="174">
        <v>0</v>
      </c>
      <c r="J130" s="174">
        <v>0</v>
      </c>
      <c r="K130" s="174">
        <v>0</v>
      </c>
      <c r="L130" s="174">
        <v>0</v>
      </c>
      <c r="M130" s="200">
        <v>0</v>
      </c>
      <c r="N130" s="174">
        <v>0.2</v>
      </c>
      <c r="O130" s="174">
        <v>2</v>
      </c>
      <c r="P130" s="174">
        <v>4.0999999999999996</v>
      </c>
      <c r="Q130" s="175">
        <v>4.8</v>
      </c>
      <c r="R130" s="174">
        <f t="shared" si="6"/>
        <v>7.2</v>
      </c>
      <c r="S130" s="174">
        <f t="shared" si="7"/>
        <v>15.899999999999999</v>
      </c>
      <c r="T130" s="174">
        <f t="shared" si="8"/>
        <v>24.8</v>
      </c>
      <c r="U130" s="174">
        <f t="shared" si="9"/>
        <v>36.300000000000004</v>
      </c>
      <c r="V130" s="175">
        <f t="shared" si="10"/>
        <v>45.099999999999994</v>
      </c>
    </row>
    <row r="131" spans="2:22">
      <c r="B131" s="171" t="s">
        <v>119</v>
      </c>
      <c r="C131" s="174">
        <v>28.8</v>
      </c>
      <c r="D131" s="174">
        <v>61.5</v>
      </c>
      <c r="E131" s="174">
        <v>106.4</v>
      </c>
      <c r="F131" s="174">
        <v>169</v>
      </c>
      <c r="G131" s="175">
        <v>212.8</v>
      </c>
      <c r="H131" s="174">
        <v>0</v>
      </c>
      <c r="I131" s="174">
        <v>5.9</v>
      </c>
      <c r="J131" s="174">
        <v>28.6</v>
      </c>
      <c r="K131" s="174">
        <v>48.6</v>
      </c>
      <c r="L131" s="174">
        <v>52.1</v>
      </c>
      <c r="M131" s="200">
        <v>0.6</v>
      </c>
      <c r="N131" s="174">
        <v>2.4</v>
      </c>
      <c r="O131" s="174">
        <v>32.200000000000003</v>
      </c>
      <c r="P131" s="174">
        <v>65.7</v>
      </c>
      <c r="Q131" s="175">
        <v>79.8</v>
      </c>
      <c r="R131" s="174">
        <f t="shared" si="6"/>
        <v>29.400000000000002</v>
      </c>
      <c r="S131" s="174">
        <f t="shared" si="7"/>
        <v>69.8</v>
      </c>
      <c r="T131" s="174">
        <f t="shared" si="8"/>
        <v>167.20000000000002</v>
      </c>
      <c r="U131" s="174">
        <f t="shared" si="9"/>
        <v>283.3</v>
      </c>
      <c r="V131" s="175">
        <f t="shared" si="10"/>
        <v>344.70000000000005</v>
      </c>
    </row>
    <row r="132" spans="2:22">
      <c r="B132" s="171" t="s">
        <v>113</v>
      </c>
      <c r="C132" s="174">
        <v>109.3</v>
      </c>
      <c r="D132" s="174">
        <v>192</v>
      </c>
      <c r="E132" s="174">
        <v>244</v>
      </c>
      <c r="F132" s="174">
        <v>360.8</v>
      </c>
      <c r="G132" s="175">
        <v>394.9</v>
      </c>
      <c r="H132" s="174">
        <v>0.8</v>
      </c>
      <c r="I132" s="174">
        <v>30.3</v>
      </c>
      <c r="J132" s="174">
        <v>98.2</v>
      </c>
      <c r="K132" s="174">
        <v>115.3</v>
      </c>
      <c r="L132" s="174">
        <v>101.9</v>
      </c>
      <c r="M132" s="200">
        <v>0.7</v>
      </c>
      <c r="N132" s="174">
        <v>2.9</v>
      </c>
      <c r="O132" s="174">
        <v>30.3</v>
      </c>
      <c r="P132" s="174">
        <v>62.3</v>
      </c>
      <c r="Q132" s="175">
        <v>74.099999999999994</v>
      </c>
      <c r="R132" s="174">
        <f t="shared" si="6"/>
        <v>110.8</v>
      </c>
      <c r="S132" s="174">
        <f t="shared" si="7"/>
        <v>225.2</v>
      </c>
      <c r="T132" s="174">
        <f t="shared" si="8"/>
        <v>372.5</v>
      </c>
      <c r="U132" s="174">
        <f t="shared" si="9"/>
        <v>538.4</v>
      </c>
      <c r="V132" s="175">
        <f t="shared" si="10"/>
        <v>570.9</v>
      </c>
    </row>
    <row r="133" spans="2:22">
      <c r="B133" s="171" t="s">
        <v>227</v>
      </c>
      <c r="C133" s="174">
        <v>3.1</v>
      </c>
      <c r="D133" s="174">
        <v>5.7</v>
      </c>
      <c r="E133" s="174">
        <v>8.6</v>
      </c>
      <c r="F133" s="174">
        <v>12</v>
      </c>
      <c r="G133" s="175">
        <v>14.1</v>
      </c>
      <c r="H133" s="174">
        <v>0</v>
      </c>
      <c r="I133" s="174">
        <v>0.1</v>
      </c>
      <c r="J133" s="174">
        <v>0.5</v>
      </c>
      <c r="K133" s="174">
        <v>0.7</v>
      </c>
      <c r="L133" s="174">
        <v>1</v>
      </c>
      <c r="M133" s="200">
        <v>0</v>
      </c>
      <c r="N133" s="174">
        <v>0.3</v>
      </c>
      <c r="O133" s="174">
        <v>1.5</v>
      </c>
      <c r="P133" s="174">
        <v>2.5</v>
      </c>
      <c r="Q133" s="175">
        <v>3.3</v>
      </c>
      <c r="R133" s="174">
        <f t="shared" si="6"/>
        <v>3.1</v>
      </c>
      <c r="S133" s="174">
        <f t="shared" si="7"/>
        <v>6.1000000000000005</v>
      </c>
      <c r="T133" s="174">
        <f t="shared" si="8"/>
        <v>10.6</v>
      </c>
      <c r="U133" s="174">
        <f t="shared" si="9"/>
        <v>15.2</v>
      </c>
      <c r="V133" s="175">
        <f t="shared" si="10"/>
        <v>18.399999999999999</v>
      </c>
    </row>
    <row r="134" spans="2:22">
      <c r="B134" s="171" t="s">
        <v>236</v>
      </c>
      <c r="C134" s="174">
        <v>5.6</v>
      </c>
      <c r="D134" s="174">
        <v>10.7</v>
      </c>
      <c r="E134" s="174">
        <v>17.2</v>
      </c>
      <c r="F134" s="174">
        <v>27.1</v>
      </c>
      <c r="G134" s="175">
        <v>34.9</v>
      </c>
      <c r="H134" s="174">
        <v>0</v>
      </c>
      <c r="I134" s="174">
        <v>0.1</v>
      </c>
      <c r="J134" s="174">
        <v>2.4</v>
      </c>
      <c r="K134" s="174">
        <v>5.8</v>
      </c>
      <c r="L134" s="174">
        <v>6.9</v>
      </c>
      <c r="M134" s="200">
        <v>0.1</v>
      </c>
      <c r="N134" s="174">
        <v>0.3</v>
      </c>
      <c r="O134" s="174">
        <v>3</v>
      </c>
      <c r="P134" s="174">
        <v>6.3</v>
      </c>
      <c r="Q134" s="175">
        <v>7.4</v>
      </c>
      <c r="R134" s="174">
        <f t="shared" ref="R134:R149" si="11">M134+H134+C134</f>
        <v>5.6999999999999993</v>
      </c>
      <c r="S134" s="174">
        <f t="shared" ref="S134:S149" si="12">N134+I134+D134</f>
        <v>11.1</v>
      </c>
      <c r="T134" s="174">
        <f t="shared" ref="T134:T149" si="13">O134+J134+E134</f>
        <v>22.6</v>
      </c>
      <c r="U134" s="174">
        <f t="shared" ref="U134:U149" si="14">P134+K134+F134</f>
        <v>39.200000000000003</v>
      </c>
      <c r="V134" s="175">
        <f t="shared" ref="V134:V149" si="15">Q134+L134+G134</f>
        <v>49.2</v>
      </c>
    </row>
    <row r="135" spans="2:22">
      <c r="B135" s="171" t="s">
        <v>243</v>
      </c>
      <c r="C135" s="174">
        <v>2.5</v>
      </c>
      <c r="D135" s="174">
        <v>4.0999999999999996</v>
      </c>
      <c r="E135" s="174">
        <v>5.4</v>
      </c>
      <c r="F135" s="174">
        <v>6.4</v>
      </c>
      <c r="G135" s="175">
        <v>7</v>
      </c>
      <c r="H135" s="174">
        <v>0</v>
      </c>
      <c r="I135" s="174">
        <v>0.2</v>
      </c>
      <c r="J135" s="174">
        <v>1.5</v>
      </c>
      <c r="K135" s="174">
        <v>3.1</v>
      </c>
      <c r="L135" s="174">
        <v>3.5</v>
      </c>
      <c r="M135" s="200">
        <v>0.1</v>
      </c>
      <c r="N135" s="174">
        <v>0.2</v>
      </c>
      <c r="O135" s="174">
        <v>2.6</v>
      </c>
      <c r="P135" s="174">
        <v>5.5</v>
      </c>
      <c r="Q135" s="175">
        <v>6.5</v>
      </c>
      <c r="R135" s="174">
        <f t="shared" si="11"/>
        <v>2.6</v>
      </c>
      <c r="S135" s="174">
        <f t="shared" si="12"/>
        <v>4.5</v>
      </c>
      <c r="T135" s="174">
        <f t="shared" si="13"/>
        <v>9.5</v>
      </c>
      <c r="U135" s="174">
        <f t="shared" si="14"/>
        <v>15</v>
      </c>
      <c r="V135" s="175">
        <f t="shared" si="15"/>
        <v>17</v>
      </c>
    </row>
    <row r="136" spans="2:22">
      <c r="B136" s="171" t="s">
        <v>123</v>
      </c>
      <c r="C136" s="174">
        <v>27.8</v>
      </c>
      <c r="D136" s="174">
        <v>49.1</v>
      </c>
      <c r="E136" s="174">
        <v>75.400000000000006</v>
      </c>
      <c r="F136" s="174">
        <v>110.7</v>
      </c>
      <c r="G136" s="175">
        <v>138.80000000000001</v>
      </c>
      <c r="H136" s="174">
        <v>0</v>
      </c>
      <c r="I136" s="174">
        <v>10.4</v>
      </c>
      <c r="J136" s="174">
        <v>50.1</v>
      </c>
      <c r="K136" s="174">
        <v>106.7</v>
      </c>
      <c r="L136" s="174">
        <v>123.9</v>
      </c>
      <c r="M136" s="200">
        <v>0.3</v>
      </c>
      <c r="N136" s="174">
        <v>1.8</v>
      </c>
      <c r="O136" s="174">
        <v>17.399999999999999</v>
      </c>
      <c r="P136" s="174">
        <v>35</v>
      </c>
      <c r="Q136" s="175">
        <v>42.5</v>
      </c>
      <c r="R136" s="174">
        <f t="shared" si="11"/>
        <v>28.1</v>
      </c>
      <c r="S136" s="174">
        <f t="shared" si="12"/>
        <v>61.300000000000004</v>
      </c>
      <c r="T136" s="174">
        <f t="shared" si="13"/>
        <v>142.9</v>
      </c>
      <c r="U136" s="174">
        <f t="shared" si="14"/>
        <v>252.39999999999998</v>
      </c>
      <c r="V136" s="175">
        <f t="shared" si="15"/>
        <v>305.20000000000005</v>
      </c>
    </row>
    <row r="137" spans="2:22">
      <c r="B137" s="171" t="s">
        <v>256</v>
      </c>
      <c r="C137" s="174">
        <v>1.4</v>
      </c>
      <c r="D137" s="174">
        <v>2.2999999999999998</v>
      </c>
      <c r="E137" s="174">
        <v>3.1</v>
      </c>
      <c r="F137" s="174">
        <v>3.9</v>
      </c>
      <c r="G137" s="175">
        <v>4.5</v>
      </c>
      <c r="H137" s="174">
        <v>0</v>
      </c>
      <c r="I137" s="174">
        <v>0</v>
      </c>
      <c r="J137" s="174">
        <v>0.1</v>
      </c>
      <c r="K137" s="174">
        <v>0.3</v>
      </c>
      <c r="L137" s="174">
        <v>0.6</v>
      </c>
      <c r="M137" s="200">
        <v>0</v>
      </c>
      <c r="N137" s="174">
        <v>0</v>
      </c>
      <c r="O137" s="174">
        <v>0</v>
      </c>
      <c r="P137" s="174">
        <v>0</v>
      </c>
      <c r="Q137" s="175">
        <v>0</v>
      </c>
      <c r="R137" s="174">
        <f t="shared" si="11"/>
        <v>1.4</v>
      </c>
      <c r="S137" s="174">
        <f t="shared" si="12"/>
        <v>2.2999999999999998</v>
      </c>
      <c r="T137" s="174">
        <f t="shared" si="13"/>
        <v>3.2</v>
      </c>
      <c r="U137" s="174">
        <f t="shared" si="14"/>
        <v>4.2</v>
      </c>
      <c r="V137" s="175">
        <f t="shared" si="15"/>
        <v>5.0999999999999996</v>
      </c>
    </row>
    <row r="138" spans="2:22">
      <c r="B138" s="171" t="s">
        <v>259</v>
      </c>
      <c r="C138" s="174">
        <v>1.4</v>
      </c>
      <c r="D138" s="174">
        <v>3.4</v>
      </c>
      <c r="E138" s="174">
        <v>6.7</v>
      </c>
      <c r="F138" s="174">
        <v>10.4</v>
      </c>
      <c r="G138" s="175">
        <v>13.9</v>
      </c>
      <c r="H138" s="174">
        <v>0</v>
      </c>
      <c r="I138" s="174">
        <v>0</v>
      </c>
      <c r="J138" s="174">
        <v>0</v>
      </c>
      <c r="K138" s="174">
        <v>0</v>
      </c>
      <c r="L138" s="174">
        <v>0.1</v>
      </c>
      <c r="M138" s="200">
        <v>0</v>
      </c>
      <c r="N138" s="174">
        <v>0.1</v>
      </c>
      <c r="O138" s="174">
        <v>1.4</v>
      </c>
      <c r="P138" s="174">
        <v>2.9</v>
      </c>
      <c r="Q138" s="175">
        <v>3.5</v>
      </c>
      <c r="R138" s="174">
        <f t="shared" si="11"/>
        <v>1.4</v>
      </c>
      <c r="S138" s="174">
        <f t="shared" si="12"/>
        <v>3.5</v>
      </c>
      <c r="T138" s="174">
        <f t="shared" si="13"/>
        <v>8.1</v>
      </c>
      <c r="U138" s="174">
        <f t="shared" si="14"/>
        <v>13.3</v>
      </c>
      <c r="V138" s="175">
        <f t="shared" si="15"/>
        <v>17.5</v>
      </c>
    </row>
    <row r="139" spans="2:22">
      <c r="B139" s="171" t="s">
        <v>261</v>
      </c>
      <c r="C139" s="174">
        <v>0.4</v>
      </c>
      <c r="D139" s="174">
        <v>0.6</v>
      </c>
      <c r="E139" s="174">
        <v>0.7</v>
      </c>
      <c r="F139" s="174">
        <v>1.2</v>
      </c>
      <c r="G139" s="175">
        <v>1.3</v>
      </c>
      <c r="H139" s="174">
        <v>0</v>
      </c>
      <c r="I139" s="174">
        <v>0.1</v>
      </c>
      <c r="J139" s="174">
        <v>0.7</v>
      </c>
      <c r="K139" s="174">
        <v>1.4</v>
      </c>
      <c r="L139" s="174">
        <v>1.6</v>
      </c>
      <c r="M139" s="200">
        <v>0</v>
      </c>
      <c r="N139" s="174">
        <v>0.1</v>
      </c>
      <c r="O139" s="174">
        <v>1.6</v>
      </c>
      <c r="P139" s="174">
        <v>3.4</v>
      </c>
      <c r="Q139" s="175">
        <v>4.0999999999999996</v>
      </c>
      <c r="R139" s="174">
        <f t="shared" si="11"/>
        <v>0.4</v>
      </c>
      <c r="S139" s="174">
        <f t="shared" si="12"/>
        <v>0.8</v>
      </c>
      <c r="T139" s="174">
        <f t="shared" si="13"/>
        <v>3</v>
      </c>
      <c r="U139" s="174">
        <f t="shared" si="14"/>
        <v>6</v>
      </c>
      <c r="V139" s="175">
        <f t="shared" si="15"/>
        <v>6.9999999999999991</v>
      </c>
    </row>
    <row r="140" spans="2:22">
      <c r="B140" s="171" t="s">
        <v>263</v>
      </c>
      <c r="C140" s="174">
        <v>0</v>
      </c>
      <c r="D140" s="174">
        <v>0</v>
      </c>
      <c r="E140" s="174">
        <v>0</v>
      </c>
      <c r="F140" s="174">
        <v>0</v>
      </c>
      <c r="G140" s="175">
        <v>0.1</v>
      </c>
      <c r="H140" s="174">
        <v>0</v>
      </c>
      <c r="I140" s="174">
        <v>0</v>
      </c>
      <c r="J140" s="174">
        <v>0</v>
      </c>
      <c r="K140" s="174">
        <v>0</v>
      </c>
      <c r="L140" s="174">
        <v>0</v>
      </c>
      <c r="M140" s="200">
        <v>0</v>
      </c>
      <c r="N140" s="174">
        <v>0</v>
      </c>
      <c r="O140" s="174">
        <v>0</v>
      </c>
      <c r="P140" s="174">
        <v>0</v>
      </c>
      <c r="Q140" s="175">
        <v>0</v>
      </c>
      <c r="R140" s="174">
        <f t="shared" si="11"/>
        <v>0</v>
      </c>
      <c r="S140" s="174">
        <f t="shared" si="12"/>
        <v>0</v>
      </c>
      <c r="T140" s="174">
        <f t="shared" si="13"/>
        <v>0</v>
      </c>
      <c r="U140" s="174">
        <f t="shared" si="14"/>
        <v>0</v>
      </c>
      <c r="V140" s="175">
        <f t="shared" si="15"/>
        <v>0.1</v>
      </c>
    </row>
    <row r="141" spans="2:22">
      <c r="B141" s="171" t="s">
        <v>125</v>
      </c>
      <c r="C141" s="174">
        <v>24.8</v>
      </c>
      <c r="D141" s="174">
        <v>44.9</v>
      </c>
      <c r="E141" s="174">
        <v>80.3</v>
      </c>
      <c r="F141" s="174">
        <v>135.69999999999999</v>
      </c>
      <c r="G141" s="175">
        <v>178.3</v>
      </c>
      <c r="H141" s="174">
        <v>0</v>
      </c>
      <c r="I141" s="174">
        <v>0.9</v>
      </c>
      <c r="J141" s="174">
        <v>9.1999999999999993</v>
      </c>
      <c r="K141" s="174">
        <v>22.1</v>
      </c>
      <c r="L141" s="174">
        <v>33.799999999999997</v>
      </c>
      <c r="M141" s="200">
        <v>0.1</v>
      </c>
      <c r="N141" s="174">
        <v>0.6</v>
      </c>
      <c r="O141" s="174">
        <v>6.3</v>
      </c>
      <c r="P141" s="174">
        <v>12.9</v>
      </c>
      <c r="Q141" s="175">
        <v>15.3</v>
      </c>
      <c r="R141" s="174">
        <f t="shared" si="11"/>
        <v>24.900000000000002</v>
      </c>
      <c r="S141" s="174">
        <f t="shared" si="12"/>
        <v>46.4</v>
      </c>
      <c r="T141" s="174">
        <f t="shared" si="13"/>
        <v>95.8</v>
      </c>
      <c r="U141" s="174">
        <f t="shared" si="14"/>
        <v>170.7</v>
      </c>
      <c r="V141" s="175">
        <f t="shared" si="15"/>
        <v>227.4</v>
      </c>
    </row>
    <row r="142" spans="2:22">
      <c r="B142" s="171" t="s">
        <v>129</v>
      </c>
      <c r="C142" s="174">
        <v>17</v>
      </c>
      <c r="D142" s="174">
        <v>36.200000000000003</v>
      </c>
      <c r="E142" s="174">
        <v>60.4</v>
      </c>
      <c r="F142" s="174">
        <v>88.7</v>
      </c>
      <c r="G142" s="175">
        <v>109.3</v>
      </c>
      <c r="H142" s="174">
        <v>0</v>
      </c>
      <c r="I142" s="174">
        <v>0.5</v>
      </c>
      <c r="J142" s="174">
        <v>3.4</v>
      </c>
      <c r="K142" s="174">
        <v>9.5</v>
      </c>
      <c r="L142" s="174">
        <v>17.899999999999999</v>
      </c>
      <c r="M142" s="200">
        <v>0.4</v>
      </c>
      <c r="N142" s="174">
        <v>1.3</v>
      </c>
      <c r="O142" s="174">
        <v>15.3</v>
      </c>
      <c r="P142" s="174">
        <v>32.1</v>
      </c>
      <c r="Q142" s="175">
        <v>37.9</v>
      </c>
      <c r="R142" s="174">
        <f t="shared" si="11"/>
        <v>17.399999999999999</v>
      </c>
      <c r="S142" s="174">
        <f t="shared" si="12"/>
        <v>38</v>
      </c>
      <c r="T142" s="174">
        <f t="shared" si="13"/>
        <v>79.099999999999994</v>
      </c>
      <c r="U142" s="174">
        <f t="shared" si="14"/>
        <v>130.30000000000001</v>
      </c>
      <c r="V142" s="175">
        <f t="shared" si="15"/>
        <v>165.1</v>
      </c>
    </row>
    <row r="143" spans="2:22">
      <c r="B143" s="171" t="s">
        <v>288</v>
      </c>
      <c r="C143" s="174">
        <v>4.7</v>
      </c>
      <c r="D143" s="174">
        <v>8.1</v>
      </c>
      <c r="E143" s="174">
        <v>11.6</v>
      </c>
      <c r="F143" s="174">
        <v>16.7</v>
      </c>
      <c r="G143" s="175">
        <v>20.9</v>
      </c>
      <c r="H143" s="174">
        <v>0</v>
      </c>
      <c r="I143" s="174">
        <v>0.1</v>
      </c>
      <c r="J143" s="174">
        <v>0.6</v>
      </c>
      <c r="K143" s="174">
        <v>0.9</v>
      </c>
      <c r="L143" s="174">
        <v>1.2</v>
      </c>
      <c r="M143" s="200">
        <v>0.1</v>
      </c>
      <c r="N143" s="174">
        <v>0.3</v>
      </c>
      <c r="O143" s="174">
        <v>3.6</v>
      </c>
      <c r="P143" s="174">
        <v>7.3</v>
      </c>
      <c r="Q143" s="175">
        <v>8.8000000000000007</v>
      </c>
      <c r="R143" s="174">
        <f t="shared" si="11"/>
        <v>4.8</v>
      </c>
      <c r="S143" s="174">
        <f t="shared" si="12"/>
        <v>8.5</v>
      </c>
      <c r="T143" s="174">
        <f t="shared" si="13"/>
        <v>15.8</v>
      </c>
      <c r="U143" s="174">
        <f t="shared" si="14"/>
        <v>24.9</v>
      </c>
      <c r="V143" s="175">
        <f t="shared" si="15"/>
        <v>30.9</v>
      </c>
    </row>
    <row r="144" spans="2:22">
      <c r="B144" s="171" t="s">
        <v>347</v>
      </c>
      <c r="C144" s="174">
        <v>5.7</v>
      </c>
      <c r="D144" s="174">
        <v>11</v>
      </c>
      <c r="E144" s="174">
        <v>16.8</v>
      </c>
      <c r="F144" s="174">
        <v>25.7</v>
      </c>
      <c r="G144" s="175">
        <v>33.6</v>
      </c>
      <c r="H144" s="174">
        <v>0</v>
      </c>
      <c r="I144" s="174">
        <v>0</v>
      </c>
      <c r="J144" s="174">
        <v>1.8</v>
      </c>
      <c r="K144" s="174">
        <v>4.3</v>
      </c>
      <c r="L144" s="174">
        <v>4.4000000000000004</v>
      </c>
      <c r="M144" s="200">
        <v>0.1</v>
      </c>
      <c r="N144" s="174">
        <v>0.4</v>
      </c>
      <c r="O144" s="174">
        <v>4.3</v>
      </c>
      <c r="P144" s="174">
        <v>8.9</v>
      </c>
      <c r="Q144" s="175">
        <v>10.4</v>
      </c>
      <c r="R144" s="174">
        <f t="shared" si="11"/>
        <v>5.8</v>
      </c>
      <c r="S144" s="174">
        <f t="shared" si="12"/>
        <v>11.4</v>
      </c>
      <c r="T144" s="174">
        <f t="shared" si="13"/>
        <v>22.9</v>
      </c>
      <c r="U144" s="174">
        <f t="shared" si="14"/>
        <v>38.9</v>
      </c>
      <c r="V144" s="175">
        <f t="shared" si="15"/>
        <v>48.400000000000006</v>
      </c>
    </row>
    <row r="145" spans="2:22">
      <c r="B145" s="171" t="s">
        <v>295</v>
      </c>
      <c r="C145" s="174">
        <v>4.0999999999999996</v>
      </c>
      <c r="D145" s="174">
        <v>8.8000000000000007</v>
      </c>
      <c r="E145" s="174">
        <v>13.8</v>
      </c>
      <c r="F145" s="174">
        <v>20.2</v>
      </c>
      <c r="G145" s="175">
        <v>23.9</v>
      </c>
      <c r="H145" s="174">
        <v>0</v>
      </c>
      <c r="I145" s="174">
        <v>0</v>
      </c>
      <c r="J145" s="174">
        <v>1.1000000000000001</v>
      </c>
      <c r="K145" s="174">
        <v>3.4</v>
      </c>
      <c r="L145" s="174">
        <v>5.3</v>
      </c>
      <c r="M145" s="200">
        <v>0</v>
      </c>
      <c r="N145" s="174">
        <v>0.1</v>
      </c>
      <c r="O145" s="174">
        <v>1.7</v>
      </c>
      <c r="P145" s="174">
        <v>3.5</v>
      </c>
      <c r="Q145" s="175">
        <v>4.2</v>
      </c>
      <c r="R145" s="174">
        <f t="shared" si="11"/>
        <v>4.0999999999999996</v>
      </c>
      <c r="S145" s="174">
        <f t="shared" si="12"/>
        <v>8.9</v>
      </c>
      <c r="T145" s="174">
        <f t="shared" si="13"/>
        <v>16.600000000000001</v>
      </c>
      <c r="U145" s="174">
        <f t="shared" si="14"/>
        <v>27.1</v>
      </c>
      <c r="V145" s="175">
        <f t="shared" si="15"/>
        <v>33.4</v>
      </c>
    </row>
    <row r="146" spans="2:22">
      <c r="B146" s="171" t="s">
        <v>298</v>
      </c>
      <c r="C146" s="174">
        <v>1.9</v>
      </c>
      <c r="D146" s="174">
        <v>2.9</v>
      </c>
      <c r="E146" s="174">
        <v>3.5</v>
      </c>
      <c r="F146" s="174">
        <v>4.2</v>
      </c>
      <c r="G146" s="175">
        <v>4.5</v>
      </c>
      <c r="H146" s="174">
        <v>0</v>
      </c>
      <c r="I146" s="174">
        <v>0</v>
      </c>
      <c r="J146" s="174">
        <v>0</v>
      </c>
      <c r="K146" s="174">
        <v>0.1</v>
      </c>
      <c r="L146" s="174">
        <v>0.1</v>
      </c>
      <c r="M146" s="200">
        <v>0</v>
      </c>
      <c r="N146" s="174">
        <v>0.1</v>
      </c>
      <c r="O146" s="174">
        <v>1.1000000000000001</v>
      </c>
      <c r="P146" s="174">
        <v>2.2999999999999998</v>
      </c>
      <c r="Q146" s="175">
        <v>2.7</v>
      </c>
      <c r="R146" s="174">
        <f t="shared" si="11"/>
        <v>1.9</v>
      </c>
      <c r="S146" s="174">
        <f t="shared" si="12"/>
        <v>3</v>
      </c>
      <c r="T146" s="174">
        <f t="shared" si="13"/>
        <v>4.5999999999999996</v>
      </c>
      <c r="U146" s="174">
        <f t="shared" si="14"/>
        <v>6.6</v>
      </c>
      <c r="V146" s="175">
        <f t="shared" si="15"/>
        <v>7.3000000000000007</v>
      </c>
    </row>
    <row r="147" spans="2:22">
      <c r="B147" s="171" t="s">
        <v>301</v>
      </c>
      <c r="C147" s="174">
        <v>10.8</v>
      </c>
      <c r="D147" s="174">
        <v>23.8</v>
      </c>
      <c r="E147" s="174">
        <v>43.1</v>
      </c>
      <c r="F147" s="174">
        <v>71.2</v>
      </c>
      <c r="G147" s="175">
        <v>92.4</v>
      </c>
      <c r="H147" s="174">
        <v>0</v>
      </c>
      <c r="I147" s="174">
        <v>1.5</v>
      </c>
      <c r="J147" s="174">
        <v>7.8</v>
      </c>
      <c r="K147" s="174">
        <v>11.7</v>
      </c>
      <c r="L147" s="174">
        <v>14</v>
      </c>
      <c r="M147" s="200">
        <v>0.4</v>
      </c>
      <c r="N147" s="174">
        <v>1.7</v>
      </c>
      <c r="O147" s="174">
        <v>20.3</v>
      </c>
      <c r="P147" s="174">
        <v>40.9</v>
      </c>
      <c r="Q147" s="175">
        <v>50</v>
      </c>
      <c r="R147" s="174">
        <f t="shared" si="11"/>
        <v>11.200000000000001</v>
      </c>
      <c r="S147" s="174">
        <f t="shared" si="12"/>
        <v>27</v>
      </c>
      <c r="T147" s="174">
        <f t="shared" si="13"/>
        <v>71.2</v>
      </c>
      <c r="U147" s="174">
        <f t="shared" si="14"/>
        <v>123.8</v>
      </c>
      <c r="V147" s="175">
        <f t="shared" si="15"/>
        <v>156.4</v>
      </c>
    </row>
    <row r="148" spans="2:22">
      <c r="B148" s="171" t="s">
        <v>131</v>
      </c>
      <c r="C148" s="174">
        <v>8.3000000000000007</v>
      </c>
      <c r="D148" s="174">
        <v>15.7</v>
      </c>
      <c r="E148" s="174">
        <v>24.4</v>
      </c>
      <c r="F148" s="174">
        <v>37.5</v>
      </c>
      <c r="G148" s="175">
        <v>48.3</v>
      </c>
      <c r="H148" s="174">
        <v>0</v>
      </c>
      <c r="I148" s="174">
        <v>0</v>
      </c>
      <c r="J148" s="174">
        <v>0</v>
      </c>
      <c r="K148" s="174">
        <v>0</v>
      </c>
      <c r="L148" s="174">
        <v>0</v>
      </c>
      <c r="M148" s="200">
        <v>0.1</v>
      </c>
      <c r="N148" s="174">
        <v>0.3</v>
      </c>
      <c r="O148" s="174">
        <v>5</v>
      </c>
      <c r="P148" s="174">
        <v>9.8000000000000007</v>
      </c>
      <c r="Q148" s="175">
        <v>12.5</v>
      </c>
      <c r="R148" s="174">
        <f t="shared" si="11"/>
        <v>8.4</v>
      </c>
      <c r="S148" s="174">
        <f t="shared" si="12"/>
        <v>16</v>
      </c>
      <c r="T148" s="174">
        <f t="shared" si="13"/>
        <v>29.4</v>
      </c>
      <c r="U148" s="174">
        <f t="shared" si="14"/>
        <v>47.3</v>
      </c>
      <c r="V148" s="175">
        <f t="shared" si="15"/>
        <v>60.8</v>
      </c>
    </row>
    <row r="149" spans="2:22" ht="15.75" thickBot="1">
      <c r="B149" s="172" t="s">
        <v>322</v>
      </c>
      <c r="C149" s="176">
        <v>31.8</v>
      </c>
      <c r="D149" s="176">
        <v>49.5</v>
      </c>
      <c r="E149" s="176">
        <v>77.7</v>
      </c>
      <c r="F149" s="176">
        <v>114.3</v>
      </c>
      <c r="G149" s="177">
        <v>143.5</v>
      </c>
      <c r="H149" s="176">
        <v>0</v>
      </c>
      <c r="I149" s="176">
        <v>9.3000000000000007</v>
      </c>
      <c r="J149" s="176">
        <v>46.2</v>
      </c>
      <c r="K149" s="176">
        <v>89.7</v>
      </c>
      <c r="L149" s="176">
        <v>112.2</v>
      </c>
      <c r="M149" s="202">
        <v>0.2</v>
      </c>
      <c r="N149" s="176">
        <v>1.8</v>
      </c>
      <c r="O149" s="176">
        <v>13.3</v>
      </c>
      <c r="P149" s="176">
        <v>26.2</v>
      </c>
      <c r="Q149" s="177">
        <v>31.5</v>
      </c>
      <c r="R149" s="176">
        <f t="shared" si="11"/>
        <v>32</v>
      </c>
      <c r="S149" s="176">
        <f t="shared" si="12"/>
        <v>60.6</v>
      </c>
      <c r="T149" s="176">
        <f t="shared" si="13"/>
        <v>137.19999999999999</v>
      </c>
      <c r="U149" s="176">
        <f t="shared" si="14"/>
        <v>230.2</v>
      </c>
      <c r="V149" s="177">
        <f t="shared" si="15"/>
        <v>287.2</v>
      </c>
    </row>
  </sheetData>
  <mergeCells count="5">
    <mergeCell ref="R3:V3"/>
    <mergeCell ref="B2:V2"/>
    <mergeCell ref="C3:G3"/>
    <mergeCell ref="M3:Q3"/>
    <mergeCell ref="H3:L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3:Y525"/>
  <sheetViews>
    <sheetView workbookViewId="0">
      <selection activeCell="A4" sqref="A4"/>
    </sheetView>
  </sheetViews>
  <sheetFormatPr defaultColWidth="9.140625" defaultRowHeight="15"/>
  <cols>
    <col min="1" max="1" width="18.28515625" customWidth="1"/>
    <col min="2" max="2" width="14.7109375" customWidth="1"/>
    <col min="3" max="3" width="13.28515625" customWidth="1"/>
    <col min="4" max="4" width="13.42578125" customWidth="1"/>
  </cols>
  <sheetData>
    <row r="3" spans="1:25">
      <c r="A3" s="148" t="s">
        <v>368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</row>
    <row r="4" spans="1:25">
      <c r="C4" s="186"/>
      <c r="D4" s="87"/>
      <c r="E4" s="87"/>
      <c r="F4" s="217" t="s">
        <v>369</v>
      </c>
      <c r="G4" s="218"/>
      <c r="H4" s="218"/>
      <c r="I4" s="218"/>
      <c r="J4" s="219"/>
      <c r="K4" s="217" t="s">
        <v>370</v>
      </c>
      <c r="L4" s="218"/>
      <c r="M4" s="218"/>
      <c r="N4" s="218"/>
      <c r="O4" s="219"/>
      <c r="P4" s="217" t="s">
        <v>371</v>
      </c>
      <c r="Q4" s="218"/>
      <c r="R4" s="218"/>
      <c r="S4" s="218"/>
      <c r="T4" s="219"/>
      <c r="U4" s="217" t="s">
        <v>372</v>
      </c>
      <c r="V4" s="218"/>
      <c r="W4" s="218"/>
      <c r="X4" s="218"/>
      <c r="Y4" s="219"/>
    </row>
    <row r="5" spans="1:25">
      <c r="A5" s="87" t="s">
        <v>373</v>
      </c>
      <c r="B5" s="87" t="s">
        <v>55</v>
      </c>
      <c r="C5" s="187" t="s">
        <v>137</v>
      </c>
      <c r="D5" s="87" t="s">
        <v>374</v>
      </c>
      <c r="E5" s="87" t="s">
        <v>375</v>
      </c>
      <c r="F5" s="125">
        <v>2030</v>
      </c>
      <c r="G5" s="87">
        <v>2035</v>
      </c>
      <c r="H5" s="87">
        <v>2040</v>
      </c>
      <c r="I5" s="87">
        <v>2045</v>
      </c>
      <c r="J5" s="126">
        <v>2050</v>
      </c>
      <c r="K5" s="125">
        <v>2030</v>
      </c>
      <c r="L5" s="87">
        <v>2035</v>
      </c>
      <c r="M5" s="87">
        <v>2040</v>
      </c>
      <c r="N5" s="87">
        <v>2045</v>
      </c>
      <c r="O5" s="126">
        <v>2050</v>
      </c>
      <c r="P5" s="125">
        <v>2030</v>
      </c>
      <c r="Q5" s="87">
        <v>2035</v>
      </c>
      <c r="R5" s="87">
        <v>2040</v>
      </c>
      <c r="S5" s="87">
        <v>2045</v>
      </c>
      <c r="T5" s="126">
        <v>2050</v>
      </c>
      <c r="U5" s="127">
        <v>2030</v>
      </c>
      <c r="V5" s="127">
        <v>2035</v>
      </c>
      <c r="W5" s="127">
        <v>2040</v>
      </c>
      <c r="X5" s="127">
        <v>2045</v>
      </c>
      <c r="Y5" s="128">
        <v>2050</v>
      </c>
    </row>
    <row r="6" spans="1:25">
      <c r="A6" s="129" t="s">
        <v>44</v>
      </c>
      <c r="B6" s="130" t="s">
        <v>75</v>
      </c>
      <c r="C6" s="188" t="s">
        <v>101</v>
      </c>
      <c r="D6" s="130" t="s">
        <v>138</v>
      </c>
      <c r="E6" s="130" t="s">
        <v>376</v>
      </c>
      <c r="F6" s="131">
        <v>0.24358867194000003</v>
      </c>
      <c r="G6" s="132">
        <v>0.66708477580000003</v>
      </c>
      <c r="H6" s="132">
        <v>1.037873099</v>
      </c>
      <c r="I6" s="132">
        <v>1.6073977880000003</v>
      </c>
      <c r="J6" s="133">
        <v>1.851524706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1">
        <v>0</v>
      </c>
      <c r="Q6" s="132">
        <v>0</v>
      </c>
      <c r="R6" s="132">
        <v>0</v>
      </c>
      <c r="S6" s="132">
        <v>0</v>
      </c>
      <c r="T6" s="133">
        <v>0</v>
      </c>
      <c r="U6" s="132">
        <v>1.159896E-2</v>
      </c>
      <c r="V6" s="132">
        <v>4.3946001999999998E-2</v>
      </c>
      <c r="W6" s="132">
        <v>5.3622083000000001E-2</v>
      </c>
      <c r="X6" s="132">
        <v>6.2439914999999999E-2</v>
      </c>
      <c r="Y6" s="133">
        <v>7.1478475E-2</v>
      </c>
    </row>
    <row r="7" spans="1:25">
      <c r="A7" s="125" t="s">
        <v>44</v>
      </c>
      <c r="B7" t="s">
        <v>75</v>
      </c>
      <c r="C7" s="186" t="s">
        <v>101</v>
      </c>
      <c r="D7" t="s">
        <v>140</v>
      </c>
      <c r="E7" t="s">
        <v>376</v>
      </c>
      <c r="F7" s="134">
        <v>0.40374883878000001</v>
      </c>
      <c r="G7" s="135">
        <v>0.99607763960000006</v>
      </c>
      <c r="H7" s="135">
        <v>1.3287698079999999</v>
      </c>
      <c r="I7" s="135">
        <v>1.893985239</v>
      </c>
      <c r="J7" s="136">
        <v>2.1920734079999997</v>
      </c>
      <c r="K7" s="135">
        <v>0</v>
      </c>
      <c r="L7" s="135">
        <v>0</v>
      </c>
      <c r="M7" s="135">
        <v>0</v>
      </c>
      <c r="N7" s="135">
        <v>0</v>
      </c>
      <c r="O7" s="135">
        <v>0</v>
      </c>
      <c r="P7" s="134">
        <v>0</v>
      </c>
      <c r="Q7" s="135">
        <v>0</v>
      </c>
      <c r="R7" s="135">
        <v>0</v>
      </c>
      <c r="S7" s="135">
        <v>0</v>
      </c>
      <c r="T7" s="136">
        <v>0</v>
      </c>
      <c r="U7" s="135">
        <v>8.519212E-3</v>
      </c>
      <c r="V7" s="135">
        <v>1.9825015000000001E-2</v>
      </c>
      <c r="W7" s="135">
        <v>1.5034691000000001E-2</v>
      </c>
      <c r="X7" s="135">
        <v>1.2281372E-2</v>
      </c>
      <c r="Y7" s="136">
        <v>1.2553379E-2</v>
      </c>
    </row>
    <row r="8" spans="1:25">
      <c r="A8" s="125" t="s">
        <v>44</v>
      </c>
      <c r="B8" t="s">
        <v>75</v>
      </c>
      <c r="C8" s="186" t="s">
        <v>101</v>
      </c>
      <c r="D8" t="s">
        <v>142</v>
      </c>
      <c r="E8" t="s">
        <v>376</v>
      </c>
      <c r="F8" s="134">
        <v>0.82150642489000003</v>
      </c>
      <c r="G8" s="135">
        <v>1.8740898653</v>
      </c>
      <c r="H8" s="135">
        <v>2.1251343470000004</v>
      </c>
      <c r="I8" s="135">
        <v>2.7743809560000003</v>
      </c>
      <c r="J8" s="136">
        <v>3.2955350750000001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4">
        <v>0</v>
      </c>
      <c r="Q8" s="135">
        <v>0</v>
      </c>
      <c r="R8" s="135">
        <v>0</v>
      </c>
      <c r="S8" s="135">
        <v>0</v>
      </c>
      <c r="T8" s="136">
        <v>0</v>
      </c>
      <c r="U8" s="135">
        <v>1.0986942999999999E-2</v>
      </c>
      <c r="V8" s="135">
        <v>2.6542814000000001E-2</v>
      </c>
      <c r="W8" s="135">
        <v>2.1303717E-2</v>
      </c>
      <c r="X8" s="135">
        <v>1.8488581E-2</v>
      </c>
      <c r="Y8" s="136">
        <v>1.9355208999999998E-2</v>
      </c>
    </row>
    <row r="9" spans="1:25">
      <c r="A9" s="125" t="s">
        <v>44</v>
      </c>
      <c r="B9" t="s">
        <v>75</v>
      </c>
      <c r="C9" s="186" t="s">
        <v>146</v>
      </c>
      <c r="D9" t="s">
        <v>144</v>
      </c>
      <c r="E9" t="s">
        <v>376</v>
      </c>
      <c r="F9" s="134">
        <v>2.5986348999999997E-3</v>
      </c>
      <c r="G9" s="135">
        <v>4.5418230000000004E-3</v>
      </c>
      <c r="H9" s="135">
        <v>1.0216276E-2</v>
      </c>
      <c r="I9" s="135">
        <v>3.0973085999999997E-2</v>
      </c>
      <c r="J9" s="136">
        <v>5.4802191E-2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4">
        <v>3.2317999999999998E-5</v>
      </c>
      <c r="Q9" s="135">
        <v>3.2423000000000004E-5</v>
      </c>
      <c r="R9" s="135">
        <v>3.2239000000000001E-5</v>
      </c>
      <c r="S9" s="135">
        <v>3.1964000000000001E-5</v>
      </c>
      <c r="T9" s="136">
        <v>3.1590000000000001E-5</v>
      </c>
      <c r="U9" s="135">
        <v>1.9985399999999999E-4</v>
      </c>
      <c r="V9" s="135">
        <v>4.49195E-4</v>
      </c>
      <c r="W9" s="135">
        <v>3.21878E-4</v>
      </c>
      <c r="X9" s="135">
        <v>2.45944E-4</v>
      </c>
      <c r="Y9" s="136">
        <v>2.4477199999999998E-4</v>
      </c>
    </row>
    <row r="10" spans="1:25">
      <c r="A10" s="125" t="s">
        <v>44</v>
      </c>
      <c r="B10" t="s">
        <v>75</v>
      </c>
      <c r="C10" s="186" t="s">
        <v>146</v>
      </c>
      <c r="D10" t="s">
        <v>147</v>
      </c>
      <c r="E10" t="s">
        <v>376</v>
      </c>
      <c r="F10" s="134">
        <v>0.78287140399999988</v>
      </c>
      <c r="G10" s="135">
        <v>1.7586950270000001</v>
      </c>
      <c r="H10" s="135">
        <v>2.2861289390000001</v>
      </c>
      <c r="I10" s="135">
        <v>3.8066631210000006</v>
      </c>
      <c r="J10" s="136">
        <v>4.6436171230000003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4">
        <v>7.5073799999999993E-4</v>
      </c>
      <c r="Q10" s="135">
        <v>7.4326899999999996E-4</v>
      </c>
      <c r="R10" s="135">
        <v>7.268419999999999E-4</v>
      </c>
      <c r="S10" s="135">
        <v>7.1092200000000001E-4</v>
      </c>
      <c r="T10" s="136">
        <v>6.9340799999999996E-4</v>
      </c>
      <c r="U10" s="135">
        <v>1.6081837000000002E-2</v>
      </c>
      <c r="V10" s="135">
        <v>3.6318596000000002E-2</v>
      </c>
      <c r="W10" s="135">
        <v>2.6238736999999998E-2</v>
      </c>
      <c r="X10" s="135">
        <v>2.0256405000000002E-2</v>
      </c>
      <c r="Y10" s="136">
        <v>2.0250104999999997E-2</v>
      </c>
    </row>
    <row r="11" spans="1:25">
      <c r="A11" s="125" t="s">
        <v>44</v>
      </c>
      <c r="B11" t="s">
        <v>75</v>
      </c>
      <c r="C11" s="186" t="s">
        <v>146</v>
      </c>
      <c r="D11" t="s">
        <v>149</v>
      </c>
      <c r="E11" t="s">
        <v>376</v>
      </c>
      <c r="F11" s="134">
        <v>0.74755408899999998</v>
      </c>
      <c r="G11" s="135">
        <v>2.2781597960000002</v>
      </c>
      <c r="H11" s="135">
        <v>3.641713974</v>
      </c>
      <c r="I11" s="135">
        <v>5.0363092070000004</v>
      </c>
      <c r="J11" s="136">
        <v>5.2266917040000003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4">
        <v>4.5883999999999996E-4</v>
      </c>
      <c r="Q11" s="135">
        <v>4.5360400000000003E-4</v>
      </c>
      <c r="R11" s="135">
        <v>4.4309999999999998E-4</v>
      </c>
      <c r="S11" s="135">
        <v>4.3304900000000002E-4</v>
      </c>
      <c r="T11" s="136">
        <v>4.2240400000000003E-4</v>
      </c>
      <c r="U11" s="135">
        <v>1.5800778000000001E-2</v>
      </c>
      <c r="V11" s="135">
        <v>3.5568304000000002E-2</v>
      </c>
      <c r="W11" s="135">
        <v>2.5554151000000001E-2</v>
      </c>
      <c r="X11" s="135">
        <v>1.9590712999999999E-2</v>
      </c>
      <c r="Y11" s="136">
        <v>1.9525448000000001E-2</v>
      </c>
    </row>
    <row r="12" spans="1:25">
      <c r="A12" s="125" t="s">
        <v>44</v>
      </c>
      <c r="B12" t="s">
        <v>75</v>
      </c>
      <c r="C12" s="186" t="s">
        <v>356</v>
      </c>
      <c r="D12" t="s">
        <v>354</v>
      </c>
      <c r="E12" t="s">
        <v>376</v>
      </c>
      <c r="F12" s="134">
        <v>0.31161944280000003</v>
      </c>
      <c r="G12" s="135">
        <v>0.957127432956</v>
      </c>
      <c r="H12" s="135">
        <v>1.5193054412000002</v>
      </c>
      <c r="I12" s="135">
        <v>2.4461028210000002</v>
      </c>
      <c r="J12" s="136">
        <v>2.7990460469999996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4">
        <v>0</v>
      </c>
      <c r="Q12" s="135">
        <v>1.9388400000000002E-4</v>
      </c>
      <c r="R12" s="135">
        <v>1.8478900000000001E-4</v>
      </c>
      <c r="S12" s="135">
        <v>1.4314499999999999E-4</v>
      </c>
      <c r="T12" s="136">
        <v>1.9018399999999998E-4</v>
      </c>
      <c r="U12" s="135">
        <v>7.6852559999999997E-3</v>
      </c>
      <c r="V12" s="135">
        <v>3.1469032000000001E-2</v>
      </c>
      <c r="W12" s="135">
        <v>3.9982513999999997E-2</v>
      </c>
      <c r="X12" s="135">
        <v>4.7313788000000002E-2</v>
      </c>
      <c r="Y12" s="136">
        <v>5.4188270999999996E-2</v>
      </c>
    </row>
    <row r="13" spans="1:25">
      <c r="A13" s="125" t="s">
        <v>44</v>
      </c>
      <c r="B13" t="s">
        <v>75</v>
      </c>
      <c r="C13" s="186" t="s">
        <v>356</v>
      </c>
      <c r="D13" t="s">
        <v>357</v>
      </c>
      <c r="E13" t="s">
        <v>376</v>
      </c>
      <c r="F13" s="134">
        <v>7.4141018978000003E-2</v>
      </c>
      <c r="G13" s="135">
        <v>0.20736165016999997</v>
      </c>
      <c r="H13" s="135">
        <v>0.35234469500000004</v>
      </c>
      <c r="I13" s="135">
        <v>0.76519295799999987</v>
      </c>
      <c r="J13" s="136">
        <v>1.0206562669999999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4">
        <v>0</v>
      </c>
      <c r="Q13" s="135">
        <v>2.4886299999999999E-4</v>
      </c>
      <c r="R13" s="135">
        <v>2.4192199999999999E-4</v>
      </c>
      <c r="S13" s="135">
        <v>1.9078199999999999E-4</v>
      </c>
      <c r="T13" s="136">
        <v>2.67428E-4</v>
      </c>
      <c r="U13" s="135">
        <v>1.0686444E-2</v>
      </c>
      <c r="V13" s="135">
        <v>4.5291802999999999E-2</v>
      </c>
      <c r="W13" s="135">
        <v>5.8909887000000001E-2</v>
      </c>
      <c r="X13" s="135">
        <v>7.0793625999999998E-2</v>
      </c>
      <c r="Y13" s="136">
        <v>8.182171399999999E-2</v>
      </c>
    </row>
    <row r="14" spans="1:25">
      <c r="A14" s="125" t="s">
        <v>44</v>
      </c>
      <c r="B14" t="s">
        <v>75</v>
      </c>
      <c r="C14" s="186" t="s">
        <v>153</v>
      </c>
      <c r="D14" t="s">
        <v>151</v>
      </c>
      <c r="E14" t="s">
        <v>376</v>
      </c>
      <c r="F14" s="134">
        <v>1.5595944E-2</v>
      </c>
      <c r="G14" s="135">
        <v>4.9325624999999998E-2</v>
      </c>
      <c r="H14" s="135">
        <v>9.8350372999999991E-2</v>
      </c>
      <c r="I14" s="135">
        <v>0.38015872899999997</v>
      </c>
      <c r="J14" s="136">
        <v>0.59571649100000001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4">
        <v>3.1080799999999998E-4</v>
      </c>
      <c r="Q14" s="135">
        <v>3.7701399999999995E-4</v>
      </c>
      <c r="R14" s="135">
        <v>3.8981200000000001E-4</v>
      </c>
      <c r="S14" s="135">
        <v>3.9549000000000008E-4</v>
      </c>
      <c r="T14" s="136">
        <v>4.1139799999999999E-4</v>
      </c>
      <c r="U14" s="135">
        <v>8.9790895000000009E-2</v>
      </c>
      <c r="V14" s="135">
        <v>0.591446001</v>
      </c>
      <c r="W14" s="135">
        <v>0.90593549200000001</v>
      </c>
      <c r="X14" s="135">
        <v>1.159582801</v>
      </c>
      <c r="Y14" s="136">
        <v>1.3569050029999998</v>
      </c>
    </row>
    <row r="15" spans="1:25">
      <c r="A15" s="125" t="s">
        <v>44</v>
      </c>
      <c r="B15" t="s">
        <v>75</v>
      </c>
      <c r="C15" s="186" t="s">
        <v>111</v>
      </c>
      <c r="D15" t="s">
        <v>154</v>
      </c>
      <c r="E15" t="s">
        <v>376</v>
      </c>
      <c r="F15" s="134">
        <v>1.2797540500000002</v>
      </c>
      <c r="G15" s="135">
        <v>3.1432273510000002</v>
      </c>
      <c r="H15" s="135">
        <v>4.1883316829999995</v>
      </c>
      <c r="I15" s="135">
        <v>6.6691426349999992</v>
      </c>
      <c r="J15" s="136">
        <v>7.9891786829999996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4">
        <v>0</v>
      </c>
      <c r="Q15" s="135">
        <v>1.7573100000000002E-4</v>
      </c>
      <c r="R15" s="135">
        <v>2.7198499999999998E-4</v>
      </c>
      <c r="S15" s="135">
        <v>3.6886300000000004E-4</v>
      </c>
      <c r="T15" s="136">
        <v>2.7437700000000002E-4</v>
      </c>
      <c r="U15" s="135">
        <v>2.1142701999999999E-2</v>
      </c>
      <c r="V15" s="135">
        <v>4.8663215999999995E-2</v>
      </c>
      <c r="W15" s="135">
        <v>3.6284230000000001E-2</v>
      </c>
      <c r="X15" s="135">
        <v>2.9095020999999999E-2</v>
      </c>
      <c r="Y15" s="136">
        <v>2.9551226E-2</v>
      </c>
    </row>
    <row r="16" spans="1:25">
      <c r="A16" s="125" t="s">
        <v>44</v>
      </c>
      <c r="B16" t="s">
        <v>75</v>
      </c>
      <c r="C16" s="186" t="s">
        <v>113</v>
      </c>
      <c r="D16" t="s">
        <v>193</v>
      </c>
      <c r="E16" t="s">
        <v>376</v>
      </c>
      <c r="F16" s="134">
        <v>1.5947852119999995</v>
      </c>
      <c r="G16" s="135">
        <v>1.8988610130000001</v>
      </c>
      <c r="H16" s="135">
        <v>2.3982020690000008</v>
      </c>
      <c r="I16" s="135">
        <v>4.3246926109999997</v>
      </c>
      <c r="J16" s="136">
        <v>5.3265187590000016</v>
      </c>
      <c r="K16" s="135">
        <v>0</v>
      </c>
      <c r="L16" s="135">
        <v>0</v>
      </c>
      <c r="M16" s="135">
        <v>5.8091862000000062E-5</v>
      </c>
      <c r="N16" s="135">
        <v>7.7300012000000042E-5</v>
      </c>
      <c r="O16" s="135">
        <v>8.1733579999999998E-5</v>
      </c>
      <c r="P16" s="134">
        <v>0</v>
      </c>
      <c r="Q16" s="135">
        <v>0</v>
      </c>
      <c r="R16" s="135">
        <v>0</v>
      </c>
      <c r="S16" s="135">
        <v>0</v>
      </c>
      <c r="T16" s="136">
        <v>0</v>
      </c>
      <c r="U16" s="135">
        <v>3.3403044999999999E-2</v>
      </c>
      <c r="V16" s="135">
        <v>0.12432332199999997</v>
      </c>
      <c r="W16" s="135">
        <v>0.14969912400000004</v>
      </c>
      <c r="X16" s="135">
        <v>0.17307139199999999</v>
      </c>
      <c r="Y16" s="136">
        <v>0.19787630900000003</v>
      </c>
    </row>
    <row r="17" spans="1:25">
      <c r="A17" s="125" t="s">
        <v>44</v>
      </c>
      <c r="B17" t="s">
        <v>75</v>
      </c>
      <c r="C17" s="186" t="s">
        <v>113</v>
      </c>
      <c r="D17" t="s">
        <v>195</v>
      </c>
      <c r="E17" t="s">
        <v>376</v>
      </c>
      <c r="F17" s="134">
        <v>2.7283137619999969</v>
      </c>
      <c r="G17" s="135">
        <v>2.701968020000002</v>
      </c>
      <c r="H17" s="135">
        <v>3.1756323360000005</v>
      </c>
      <c r="I17" s="135">
        <v>5.9559127840000015</v>
      </c>
      <c r="J17" s="136">
        <v>7.2150601409999968</v>
      </c>
      <c r="K17" s="135">
        <v>0</v>
      </c>
      <c r="L17" s="135">
        <v>0</v>
      </c>
      <c r="M17" s="135">
        <v>2.276348000000001E-6</v>
      </c>
      <c r="N17" s="135">
        <v>1.8544990000000009E-5</v>
      </c>
      <c r="O17" s="135">
        <v>2.9229999999999983E-5</v>
      </c>
      <c r="P17" s="134">
        <v>0</v>
      </c>
      <c r="Q17" s="135">
        <v>0</v>
      </c>
      <c r="R17" s="135">
        <v>0</v>
      </c>
      <c r="S17" s="135">
        <v>0</v>
      </c>
      <c r="T17" s="136">
        <v>0</v>
      </c>
      <c r="U17" s="135">
        <v>8.0071639E-2</v>
      </c>
      <c r="V17" s="135">
        <v>0.416118445</v>
      </c>
      <c r="W17" s="135">
        <v>0.59017390500000078</v>
      </c>
      <c r="X17" s="135">
        <v>0.73390728999999988</v>
      </c>
      <c r="Y17" s="136">
        <v>0.85343872000000043</v>
      </c>
    </row>
    <row r="18" spans="1:25">
      <c r="A18" s="125" t="s">
        <v>44</v>
      </c>
      <c r="B18" t="s">
        <v>75</v>
      </c>
      <c r="C18" s="186" t="s">
        <v>113</v>
      </c>
      <c r="D18" t="s">
        <v>197</v>
      </c>
      <c r="E18" t="s">
        <v>376</v>
      </c>
      <c r="F18" s="134">
        <v>0.66227967899999984</v>
      </c>
      <c r="G18" s="135">
        <v>0.36297553200000005</v>
      </c>
      <c r="H18" s="135">
        <v>0.22667491299999998</v>
      </c>
      <c r="I18" s="135">
        <v>0.54676955999999999</v>
      </c>
      <c r="J18" s="136">
        <v>0.60226266799999995</v>
      </c>
      <c r="K18" s="135">
        <v>0</v>
      </c>
      <c r="L18" s="135">
        <v>0</v>
      </c>
      <c r="M18" s="135">
        <v>3.0417699999999998E-4</v>
      </c>
      <c r="N18" s="135">
        <v>2.7261700000000001E-4</v>
      </c>
      <c r="O18" s="135">
        <v>2.5689799999999998E-4</v>
      </c>
      <c r="P18" s="134">
        <v>0</v>
      </c>
      <c r="Q18" s="135">
        <v>0</v>
      </c>
      <c r="R18" s="135">
        <v>0</v>
      </c>
      <c r="S18" s="135">
        <v>0</v>
      </c>
      <c r="T18" s="136">
        <v>0</v>
      </c>
      <c r="U18" s="135">
        <v>3.2344204000000001E-2</v>
      </c>
      <c r="V18" s="135">
        <v>0.18702687800000001</v>
      </c>
      <c r="W18" s="135">
        <v>0.275610087</v>
      </c>
      <c r="X18" s="135">
        <v>0.347831681</v>
      </c>
      <c r="Y18" s="136">
        <v>0.40578006700000002</v>
      </c>
    </row>
    <row r="19" spans="1:25">
      <c r="A19" s="125" t="s">
        <v>44</v>
      </c>
      <c r="B19" t="s">
        <v>75</v>
      </c>
      <c r="C19" s="186" t="s">
        <v>113</v>
      </c>
      <c r="D19" t="s">
        <v>199</v>
      </c>
      <c r="E19" t="s">
        <v>376</v>
      </c>
      <c r="F19" s="134">
        <v>0.86219829999999997</v>
      </c>
      <c r="G19" s="135">
        <v>1.6499191639999997</v>
      </c>
      <c r="H19" s="135">
        <v>1.9014187850000002</v>
      </c>
      <c r="I19" s="135">
        <v>2.6700818760000007</v>
      </c>
      <c r="J19" s="136">
        <v>3.1220494620000019</v>
      </c>
      <c r="K19" s="135">
        <v>0</v>
      </c>
      <c r="L19" s="135">
        <v>0</v>
      </c>
      <c r="M19" s="135">
        <v>1.5368040000000001E-4</v>
      </c>
      <c r="N19" s="135">
        <v>1.3662280000000001E-4</v>
      </c>
      <c r="O19" s="135">
        <v>1.4081780000000006E-4</v>
      </c>
      <c r="P19" s="134">
        <v>0</v>
      </c>
      <c r="Q19" s="135">
        <v>0</v>
      </c>
      <c r="R19" s="135">
        <v>0</v>
      </c>
      <c r="S19" s="135">
        <v>0</v>
      </c>
      <c r="T19" s="136">
        <v>0</v>
      </c>
      <c r="U19" s="135">
        <v>5.2549730000000005E-3</v>
      </c>
      <c r="V19" s="135">
        <v>1.1809774999999996E-2</v>
      </c>
      <c r="W19" s="135">
        <v>8.4409639999999987E-3</v>
      </c>
      <c r="X19" s="135">
        <v>6.4332969999999984E-3</v>
      </c>
      <c r="Y19" s="136">
        <v>6.386419E-3</v>
      </c>
    </row>
    <row r="20" spans="1:25">
      <c r="A20" s="125" t="s">
        <v>44</v>
      </c>
      <c r="B20" t="s">
        <v>75</v>
      </c>
      <c r="C20" s="186" t="s">
        <v>113</v>
      </c>
      <c r="D20" t="s">
        <v>201</v>
      </c>
      <c r="E20" t="s">
        <v>376</v>
      </c>
      <c r="F20" s="134">
        <v>2.0038670170000001</v>
      </c>
      <c r="G20" s="135">
        <v>3.5206998999999999</v>
      </c>
      <c r="H20" s="135">
        <v>3.2848477099999998</v>
      </c>
      <c r="I20" s="135">
        <v>3.6978638160000004</v>
      </c>
      <c r="J20" s="136">
        <v>4.0232781150000001</v>
      </c>
      <c r="K20" s="135">
        <v>0</v>
      </c>
      <c r="L20" s="135">
        <v>0</v>
      </c>
      <c r="M20" s="135">
        <v>4.2547799999999999E-5</v>
      </c>
      <c r="N20" s="135">
        <v>2.8444400000000002E-5</v>
      </c>
      <c r="O20" s="135">
        <v>2.7741600000000006E-5</v>
      </c>
      <c r="P20" s="134">
        <v>0</v>
      </c>
      <c r="Q20" s="135">
        <v>0</v>
      </c>
      <c r="R20" s="135">
        <v>0</v>
      </c>
      <c r="S20" s="135">
        <v>0</v>
      </c>
      <c r="T20" s="136">
        <v>0</v>
      </c>
      <c r="U20" s="135">
        <v>3.705477E-3</v>
      </c>
      <c r="V20" s="135">
        <v>1.9112001000000003E-2</v>
      </c>
      <c r="W20" s="135">
        <v>2.7065120000000002E-2</v>
      </c>
      <c r="X20" s="135">
        <v>3.3642280999999996E-2</v>
      </c>
      <c r="Y20" s="136">
        <v>3.9105119000000001E-2</v>
      </c>
    </row>
    <row r="21" spans="1:25">
      <c r="A21" s="125" t="s">
        <v>44</v>
      </c>
      <c r="B21" t="s">
        <v>75</v>
      </c>
      <c r="C21" s="186" t="s">
        <v>113</v>
      </c>
      <c r="D21" t="s">
        <v>203</v>
      </c>
      <c r="E21" t="s">
        <v>376</v>
      </c>
      <c r="F21" s="134">
        <v>0.63668809999999998</v>
      </c>
      <c r="G21" s="135">
        <v>0.73213304499999987</v>
      </c>
      <c r="H21" s="135">
        <v>0.63386062399999998</v>
      </c>
      <c r="I21" s="135">
        <v>0.86877469500000004</v>
      </c>
      <c r="J21" s="136">
        <v>0.96638309700000002</v>
      </c>
      <c r="K21" s="135">
        <v>0</v>
      </c>
      <c r="L21" s="135">
        <v>0</v>
      </c>
      <c r="M21" s="135">
        <v>2.0277899999999999E-4</v>
      </c>
      <c r="N21" s="135">
        <v>1.9660000000000001E-4</v>
      </c>
      <c r="O21" s="135">
        <v>1.8369999999999999E-4</v>
      </c>
      <c r="P21" s="134">
        <v>0</v>
      </c>
      <c r="Q21" s="135">
        <v>0</v>
      </c>
      <c r="R21" s="135">
        <v>0</v>
      </c>
      <c r="S21" s="135">
        <v>0</v>
      </c>
      <c r="T21" s="136">
        <v>0</v>
      </c>
      <c r="U21" s="135">
        <v>1.6013169000000001E-2</v>
      </c>
      <c r="V21" s="135">
        <v>9.2562769000000003E-2</v>
      </c>
      <c r="W21" s="135">
        <v>0.136450301</v>
      </c>
      <c r="X21" s="135">
        <v>0.17223074099999999</v>
      </c>
      <c r="Y21" s="136">
        <v>0.20092405799999999</v>
      </c>
    </row>
    <row r="22" spans="1:25">
      <c r="A22" s="125" t="s">
        <v>44</v>
      </c>
      <c r="B22" t="s">
        <v>75</v>
      </c>
      <c r="C22" s="186" t="s">
        <v>113</v>
      </c>
      <c r="D22" t="s">
        <v>205</v>
      </c>
      <c r="E22" t="s">
        <v>376</v>
      </c>
      <c r="F22" s="134">
        <v>1.2904010439999991</v>
      </c>
      <c r="G22" s="135">
        <v>0.85779425700000012</v>
      </c>
      <c r="H22" s="135">
        <v>0.68493674399999982</v>
      </c>
      <c r="I22" s="135">
        <v>1.4150754179999998</v>
      </c>
      <c r="J22" s="136">
        <v>1.6077531499999997</v>
      </c>
      <c r="K22" s="135">
        <v>0</v>
      </c>
      <c r="L22" s="135">
        <v>0</v>
      </c>
      <c r="M22" s="135">
        <v>7.0898800000000021E-7</v>
      </c>
      <c r="N22" s="135">
        <v>9.4523599999999933E-6</v>
      </c>
      <c r="O22" s="135">
        <v>1.6001160000000009E-5</v>
      </c>
      <c r="P22" s="134">
        <v>0</v>
      </c>
      <c r="Q22" s="135">
        <v>0</v>
      </c>
      <c r="R22" s="135">
        <v>0</v>
      </c>
      <c r="S22" s="135">
        <v>0</v>
      </c>
      <c r="T22" s="136">
        <v>0</v>
      </c>
      <c r="U22" s="135">
        <v>0.11144330200000002</v>
      </c>
      <c r="V22" s="135">
        <v>0.69010427000000019</v>
      </c>
      <c r="W22" s="135">
        <v>1.0384792170000001</v>
      </c>
      <c r="X22" s="135">
        <v>1.3208023240000006</v>
      </c>
      <c r="Y22" s="136">
        <v>1.5433989080000003</v>
      </c>
    </row>
    <row r="23" spans="1:25">
      <c r="A23" s="125" t="s">
        <v>44</v>
      </c>
      <c r="B23" t="s">
        <v>75</v>
      </c>
      <c r="C23" s="186" t="s">
        <v>113</v>
      </c>
      <c r="D23" t="s">
        <v>207</v>
      </c>
      <c r="E23" t="s">
        <v>376</v>
      </c>
      <c r="F23" s="134">
        <v>7.7361499E-2</v>
      </c>
      <c r="G23" s="135">
        <v>4.7007615999999995E-2</v>
      </c>
      <c r="H23" s="135">
        <v>3.9712434000000005E-2</v>
      </c>
      <c r="I23" s="135">
        <v>9.3298439999999982E-2</v>
      </c>
      <c r="J23" s="136">
        <v>0.12215387400000002</v>
      </c>
      <c r="K23" s="135">
        <v>0</v>
      </c>
      <c r="L23" s="135">
        <v>0</v>
      </c>
      <c r="M23" s="135">
        <v>3.4393400000000015E-5</v>
      </c>
      <c r="N23" s="135">
        <v>3.4762999999999999E-5</v>
      </c>
      <c r="O23" s="135">
        <v>3.3167800000000005E-5</v>
      </c>
      <c r="P23" s="134">
        <v>0</v>
      </c>
      <c r="Q23" s="135">
        <v>0</v>
      </c>
      <c r="R23" s="135">
        <v>0</v>
      </c>
      <c r="S23" s="135">
        <v>0</v>
      </c>
      <c r="T23" s="136">
        <v>0</v>
      </c>
      <c r="U23" s="135">
        <v>3.8632260000000004E-3</v>
      </c>
      <c r="V23" s="135">
        <v>1.0135075E-2</v>
      </c>
      <c r="W23" s="135">
        <v>9.2179579999999983E-3</v>
      </c>
      <c r="X23" s="135">
        <v>8.9632919999999977E-3</v>
      </c>
      <c r="Y23" s="136">
        <v>9.6993249999999982E-3</v>
      </c>
    </row>
    <row r="24" spans="1:25">
      <c r="A24" s="125" t="s">
        <v>44</v>
      </c>
      <c r="B24" t="s">
        <v>75</v>
      </c>
      <c r="C24" s="186" t="s">
        <v>113</v>
      </c>
      <c r="D24" t="s">
        <v>209</v>
      </c>
      <c r="E24" t="s">
        <v>376</v>
      </c>
      <c r="F24" s="134">
        <v>3.8892073209999989</v>
      </c>
      <c r="G24" s="135">
        <v>5.8869253309999969</v>
      </c>
      <c r="H24" s="135">
        <v>5.756321949000001</v>
      </c>
      <c r="I24" s="135">
        <v>7.4752028849999999</v>
      </c>
      <c r="J24" s="136">
        <v>8.423845830000003</v>
      </c>
      <c r="K24" s="135">
        <v>0</v>
      </c>
      <c r="L24" s="135">
        <v>0</v>
      </c>
      <c r="M24" s="135">
        <v>9.8516512000000045E-5</v>
      </c>
      <c r="N24" s="135">
        <v>1.2079378999999999E-4</v>
      </c>
      <c r="O24" s="135">
        <v>1.2831450000000004E-4</v>
      </c>
      <c r="P24" s="134">
        <v>0</v>
      </c>
      <c r="Q24" s="135">
        <v>0</v>
      </c>
      <c r="R24" s="135">
        <v>0</v>
      </c>
      <c r="S24" s="135">
        <v>0</v>
      </c>
      <c r="T24" s="136">
        <v>0</v>
      </c>
      <c r="U24" s="135">
        <v>2.2359087999999996E-2</v>
      </c>
      <c r="V24" s="135">
        <v>7.7405454999999984E-2</v>
      </c>
      <c r="W24" s="135">
        <v>8.8791643999999989E-2</v>
      </c>
      <c r="X24" s="135">
        <v>0.10014980899999999</v>
      </c>
      <c r="Y24" s="136">
        <v>0.11369602300000003</v>
      </c>
    </row>
    <row r="25" spans="1:25">
      <c r="A25" s="125" t="s">
        <v>44</v>
      </c>
      <c r="B25" t="s">
        <v>75</v>
      </c>
      <c r="C25" s="186" t="s">
        <v>113</v>
      </c>
      <c r="D25" t="s">
        <v>211</v>
      </c>
      <c r="E25" t="s">
        <v>376</v>
      </c>
      <c r="F25" s="134">
        <v>13.974716884000014</v>
      </c>
      <c r="G25" s="135">
        <v>19.756614914000004</v>
      </c>
      <c r="H25" s="135">
        <v>18.731255516000012</v>
      </c>
      <c r="I25" s="135">
        <v>24.579460375000004</v>
      </c>
      <c r="J25" s="136">
        <v>27.560741204999989</v>
      </c>
      <c r="K25" s="135">
        <v>0</v>
      </c>
      <c r="L25" s="135">
        <v>0</v>
      </c>
      <c r="M25" s="135">
        <v>1.4672323200000005E-4</v>
      </c>
      <c r="N25" s="135">
        <v>1.5586567999999998E-4</v>
      </c>
      <c r="O25" s="135">
        <v>1.6567402000000001E-4</v>
      </c>
      <c r="P25" s="134">
        <v>0</v>
      </c>
      <c r="Q25" s="135">
        <v>0</v>
      </c>
      <c r="R25" s="135">
        <v>0</v>
      </c>
      <c r="S25" s="135">
        <v>0</v>
      </c>
      <c r="T25" s="136">
        <v>0</v>
      </c>
      <c r="U25" s="135">
        <v>8.2914181000000017E-2</v>
      </c>
      <c r="V25" s="135">
        <v>0.39807940800000002</v>
      </c>
      <c r="W25" s="135">
        <v>0.54709191699999993</v>
      </c>
      <c r="X25" s="135">
        <v>0.67189447600000007</v>
      </c>
      <c r="Y25" s="136">
        <v>0.77878987900000007</v>
      </c>
    </row>
    <row r="26" spans="1:25">
      <c r="A26" s="125" t="s">
        <v>44</v>
      </c>
      <c r="B26" t="s">
        <v>75</v>
      </c>
      <c r="C26" s="186" t="s">
        <v>113</v>
      </c>
      <c r="D26" t="s">
        <v>213</v>
      </c>
      <c r="E26" t="s">
        <v>376</v>
      </c>
      <c r="F26" s="134">
        <v>0.53869928900000008</v>
      </c>
      <c r="G26" s="135">
        <v>0.79388660600000016</v>
      </c>
      <c r="H26" s="135">
        <v>0.93023909500000002</v>
      </c>
      <c r="I26" s="135">
        <v>1.4535404589999994</v>
      </c>
      <c r="J26" s="136">
        <v>1.7245106220000006</v>
      </c>
      <c r="K26" s="135">
        <v>0</v>
      </c>
      <c r="L26" s="135">
        <v>0</v>
      </c>
      <c r="M26" s="135">
        <v>4.8787799999999916E-6</v>
      </c>
      <c r="N26" s="135">
        <v>9.0248080000000006E-6</v>
      </c>
      <c r="O26" s="135">
        <v>9.9422320000000054E-6</v>
      </c>
      <c r="P26" s="134">
        <v>0</v>
      </c>
      <c r="Q26" s="135">
        <v>0</v>
      </c>
      <c r="R26" s="135">
        <v>0</v>
      </c>
      <c r="S26" s="135">
        <v>0</v>
      </c>
      <c r="T26" s="136">
        <v>0</v>
      </c>
      <c r="U26" s="135">
        <v>8.6678219999999986E-3</v>
      </c>
      <c r="V26" s="135">
        <v>1.9542838000000003E-2</v>
      </c>
      <c r="W26" s="135">
        <v>1.4027775000000003E-2</v>
      </c>
      <c r="X26" s="135">
        <v>1.0737379999999998E-2</v>
      </c>
      <c r="Y26" s="136">
        <v>1.0705605E-2</v>
      </c>
    </row>
    <row r="27" spans="1:25">
      <c r="A27" s="125" t="s">
        <v>44</v>
      </c>
      <c r="B27" t="s">
        <v>75</v>
      </c>
      <c r="C27" s="186" t="s">
        <v>113</v>
      </c>
      <c r="D27" t="s">
        <v>215</v>
      </c>
      <c r="E27" t="s">
        <v>376</v>
      </c>
      <c r="F27" s="134">
        <v>2.3377669290000003</v>
      </c>
      <c r="G27" s="135">
        <v>4.0905543199999999</v>
      </c>
      <c r="H27" s="135">
        <v>3.8192771169999999</v>
      </c>
      <c r="I27" s="135">
        <v>4.3401970100000007</v>
      </c>
      <c r="J27" s="136">
        <v>4.7714180580000018</v>
      </c>
      <c r="K27" s="135">
        <v>0</v>
      </c>
      <c r="L27" s="135">
        <v>0</v>
      </c>
      <c r="M27" s="135">
        <v>4.4972692000000009E-5</v>
      </c>
      <c r="N27" s="135">
        <v>4.8656039999999999E-5</v>
      </c>
      <c r="O27" s="135">
        <v>4.7846120000000004E-5</v>
      </c>
      <c r="P27" s="134">
        <v>0</v>
      </c>
      <c r="Q27" s="135">
        <v>0</v>
      </c>
      <c r="R27" s="135">
        <v>0</v>
      </c>
      <c r="S27" s="135">
        <v>0</v>
      </c>
      <c r="T27" s="136">
        <v>0</v>
      </c>
      <c r="U27" s="135">
        <v>2.4008380000000002E-3</v>
      </c>
      <c r="V27" s="135">
        <v>7.3007030000000004E-3</v>
      </c>
      <c r="W27" s="135">
        <v>7.6028000000000016E-3</v>
      </c>
      <c r="X27" s="135">
        <v>8.1181960000000011E-3</v>
      </c>
      <c r="Y27" s="136">
        <v>9.0589889999999982E-3</v>
      </c>
    </row>
    <row r="28" spans="1:25">
      <c r="A28" s="125" t="s">
        <v>44</v>
      </c>
      <c r="B28" t="s">
        <v>75</v>
      </c>
      <c r="C28" s="186" t="s">
        <v>113</v>
      </c>
      <c r="D28" t="s">
        <v>217</v>
      </c>
      <c r="E28" t="s">
        <v>376</v>
      </c>
      <c r="F28" s="134">
        <v>0.39588730499999986</v>
      </c>
      <c r="G28" s="135">
        <v>0.45434230199999992</v>
      </c>
      <c r="H28" s="135">
        <v>0.53969442300000015</v>
      </c>
      <c r="I28" s="135">
        <v>0.959041802</v>
      </c>
      <c r="J28" s="136">
        <v>1.1874579250000004</v>
      </c>
      <c r="K28" s="135">
        <v>0</v>
      </c>
      <c r="L28" s="135">
        <v>0</v>
      </c>
      <c r="M28" s="135">
        <v>3.6050220000000003E-4</v>
      </c>
      <c r="N28" s="135">
        <v>3.3267440000000006E-4</v>
      </c>
      <c r="O28" s="135">
        <v>3.1910719999999997E-4</v>
      </c>
      <c r="P28" s="134">
        <v>0</v>
      </c>
      <c r="Q28" s="135">
        <v>0</v>
      </c>
      <c r="R28" s="135">
        <v>0</v>
      </c>
      <c r="S28" s="135">
        <v>0</v>
      </c>
      <c r="T28" s="136">
        <v>0</v>
      </c>
      <c r="U28" s="135">
        <v>8.8719599999999999E-3</v>
      </c>
      <c r="V28" s="135">
        <v>2.4162428999999999E-2</v>
      </c>
      <c r="W28" s="135">
        <v>2.2849008999999997E-2</v>
      </c>
      <c r="X28" s="135">
        <v>2.2875364000000002E-2</v>
      </c>
      <c r="Y28" s="136">
        <v>2.5000131000000005E-2</v>
      </c>
    </row>
    <row r="29" spans="1:25">
      <c r="A29" s="125" t="s">
        <v>44</v>
      </c>
      <c r="B29" t="s">
        <v>75</v>
      </c>
      <c r="C29" s="186" t="s">
        <v>113</v>
      </c>
      <c r="D29" t="s">
        <v>219</v>
      </c>
      <c r="E29" t="s">
        <v>376</v>
      </c>
      <c r="F29" s="134">
        <v>1.1657642799999999</v>
      </c>
      <c r="G29" s="135">
        <v>1.3431327459999995</v>
      </c>
      <c r="H29" s="135">
        <v>1.711641216999999</v>
      </c>
      <c r="I29" s="135">
        <v>3.149002978</v>
      </c>
      <c r="J29" s="136">
        <v>3.7831236129999986</v>
      </c>
      <c r="K29" s="135">
        <v>0</v>
      </c>
      <c r="L29" s="135">
        <v>0</v>
      </c>
      <c r="M29" s="135">
        <v>1.1428959999999999E-4</v>
      </c>
      <c r="N29" s="135">
        <v>9.8204599999999985E-5</v>
      </c>
      <c r="O29" s="135">
        <v>1.0134199999999999E-4</v>
      </c>
      <c r="P29" s="134">
        <v>0</v>
      </c>
      <c r="Q29" s="135">
        <v>0</v>
      </c>
      <c r="R29" s="135">
        <v>0</v>
      </c>
      <c r="S29" s="135">
        <v>0</v>
      </c>
      <c r="T29" s="136">
        <v>0</v>
      </c>
      <c r="U29" s="135">
        <v>1.2760120000000002E-2</v>
      </c>
      <c r="V29" s="135">
        <v>6.6113572999999995E-2</v>
      </c>
      <c r="W29" s="135">
        <v>9.392597200000001E-2</v>
      </c>
      <c r="X29" s="135">
        <v>0.11693981999999999</v>
      </c>
      <c r="Y29" s="136">
        <v>0.13588272300000001</v>
      </c>
    </row>
    <row r="30" spans="1:25">
      <c r="A30" s="125" t="s">
        <v>44</v>
      </c>
      <c r="B30" t="s">
        <v>75</v>
      </c>
      <c r="C30" s="186" t="s">
        <v>113</v>
      </c>
      <c r="D30" t="s">
        <v>221</v>
      </c>
      <c r="E30" t="s">
        <v>376</v>
      </c>
      <c r="F30" s="134">
        <v>0.54049713899999996</v>
      </c>
      <c r="G30" s="135">
        <v>0.34019474599999994</v>
      </c>
      <c r="H30" s="135">
        <v>0.27233958400000008</v>
      </c>
      <c r="I30" s="135">
        <v>0.59147054599999993</v>
      </c>
      <c r="J30" s="136">
        <v>0.68038800999999993</v>
      </c>
      <c r="K30" s="135">
        <v>0</v>
      </c>
      <c r="L30" s="135">
        <v>0</v>
      </c>
      <c r="M30" s="135">
        <v>1.7142037600000002E-4</v>
      </c>
      <c r="N30" s="135">
        <v>2.0008169999999995E-4</v>
      </c>
      <c r="O30" s="135">
        <v>1.9766727999999997E-4</v>
      </c>
      <c r="P30" s="134">
        <v>0</v>
      </c>
      <c r="Q30" s="135">
        <v>0</v>
      </c>
      <c r="R30" s="135">
        <v>0</v>
      </c>
      <c r="S30" s="135">
        <v>0</v>
      </c>
      <c r="T30" s="136">
        <v>0</v>
      </c>
      <c r="U30" s="135">
        <v>6.2341209999999996E-3</v>
      </c>
      <c r="V30" s="135">
        <v>1.4948407000000002E-2</v>
      </c>
      <c r="W30" s="135">
        <v>1.1676011E-2</v>
      </c>
      <c r="X30" s="135">
        <v>9.8452340000000013E-3</v>
      </c>
      <c r="Y30" s="136">
        <v>1.0224925000000001E-2</v>
      </c>
    </row>
    <row r="31" spans="1:25">
      <c r="A31" s="125" t="s">
        <v>44</v>
      </c>
      <c r="B31" t="s">
        <v>75</v>
      </c>
      <c r="C31" s="186" t="s">
        <v>113</v>
      </c>
      <c r="D31" t="s">
        <v>223</v>
      </c>
      <c r="E31" t="s">
        <v>376</v>
      </c>
      <c r="F31" s="134">
        <v>0.30875387830000006</v>
      </c>
      <c r="G31" s="135">
        <v>0.56371839809999968</v>
      </c>
      <c r="H31" s="135">
        <v>0.79598207920000008</v>
      </c>
      <c r="I31" s="135">
        <v>1.3483030889999998</v>
      </c>
      <c r="J31" s="136">
        <v>1.6584117610000002</v>
      </c>
      <c r="K31" s="135">
        <v>0</v>
      </c>
      <c r="L31" s="135">
        <v>0</v>
      </c>
      <c r="M31" s="135">
        <v>6.865800000000001E-7</v>
      </c>
      <c r="N31" s="135">
        <v>6.3923999999999989E-7</v>
      </c>
      <c r="O31" s="135">
        <v>1.6537199999999992E-6</v>
      </c>
      <c r="P31" s="134">
        <v>0</v>
      </c>
      <c r="Q31" s="135">
        <v>0</v>
      </c>
      <c r="R31" s="135">
        <v>0</v>
      </c>
      <c r="S31" s="135">
        <v>0</v>
      </c>
      <c r="T31" s="136">
        <v>0</v>
      </c>
      <c r="U31" s="135">
        <v>4.9200069999999988E-3</v>
      </c>
      <c r="V31" s="135">
        <v>1.3538932000000002E-2</v>
      </c>
      <c r="W31" s="135">
        <v>1.3001811999999998E-2</v>
      </c>
      <c r="X31" s="135">
        <v>1.3173090999999996E-2</v>
      </c>
      <c r="Y31" s="136">
        <v>1.4425170999999997E-2</v>
      </c>
    </row>
    <row r="32" spans="1:25">
      <c r="A32" s="125" t="s">
        <v>44</v>
      </c>
      <c r="B32" t="s">
        <v>75</v>
      </c>
      <c r="C32" s="186" t="s">
        <v>115</v>
      </c>
      <c r="D32" t="s">
        <v>156</v>
      </c>
      <c r="E32" t="s">
        <v>376</v>
      </c>
      <c r="F32" s="134">
        <v>0.49288890100000005</v>
      </c>
      <c r="G32" s="135">
        <v>1.2576077450000001</v>
      </c>
      <c r="H32" s="135">
        <v>1.8877231379999997</v>
      </c>
      <c r="I32" s="135">
        <v>3.2022758659999995</v>
      </c>
      <c r="J32" s="136">
        <v>4.1602722629999995</v>
      </c>
      <c r="K32" s="135">
        <v>0</v>
      </c>
      <c r="L32" s="135">
        <v>0</v>
      </c>
      <c r="M32" s="135">
        <v>0</v>
      </c>
      <c r="N32" s="135">
        <v>0</v>
      </c>
      <c r="O32" s="135">
        <v>0</v>
      </c>
      <c r="P32" s="134">
        <v>0</v>
      </c>
      <c r="Q32" s="135">
        <v>0</v>
      </c>
      <c r="R32" s="135">
        <v>0</v>
      </c>
      <c r="S32" s="135">
        <v>0</v>
      </c>
      <c r="T32" s="136">
        <v>0</v>
      </c>
      <c r="U32" s="135">
        <v>0.41838962899999999</v>
      </c>
      <c r="V32" s="135">
        <v>2.7252446589999999</v>
      </c>
      <c r="W32" s="135">
        <v>4.1613943999999998</v>
      </c>
      <c r="X32" s="135">
        <v>5.3206475400000004</v>
      </c>
      <c r="Y32" s="136">
        <v>6.224522866</v>
      </c>
    </row>
    <row r="33" spans="1:25">
      <c r="A33" s="125" t="s">
        <v>44</v>
      </c>
      <c r="B33" t="s">
        <v>75</v>
      </c>
      <c r="C33" s="186" t="s">
        <v>160</v>
      </c>
      <c r="D33" t="s">
        <v>158</v>
      </c>
      <c r="E33" t="s">
        <v>376</v>
      </c>
      <c r="F33" s="134">
        <v>7.0935882500000005E-2</v>
      </c>
      <c r="G33" s="135">
        <v>0.22136249460000001</v>
      </c>
      <c r="H33" s="135">
        <v>0.33796770900000006</v>
      </c>
      <c r="I33" s="135">
        <v>0.53530712400000002</v>
      </c>
      <c r="J33" s="136">
        <v>0.57585648300000003</v>
      </c>
      <c r="K33" s="135">
        <v>0</v>
      </c>
      <c r="L33" s="135">
        <v>0</v>
      </c>
      <c r="M33" s="135">
        <v>0</v>
      </c>
      <c r="N33" s="135">
        <v>0</v>
      </c>
      <c r="O33" s="135">
        <v>0</v>
      </c>
      <c r="P33" s="134">
        <v>0</v>
      </c>
      <c r="Q33" s="135">
        <v>0</v>
      </c>
      <c r="R33" s="135">
        <v>0</v>
      </c>
      <c r="S33" s="135">
        <v>0</v>
      </c>
      <c r="T33" s="136">
        <v>0</v>
      </c>
      <c r="U33" s="135">
        <v>2.3692549999999998E-3</v>
      </c>
      <c r="V33" s="135">
        <v>5.3251699999999997E-3</v>
      </c>
      <c r="W33" s="135">
        <v>3.815836E-3</v>
      </c>
      <c r="X33" s="135">
        <v>2.9156490000000002E-3</v>
      </c>
      <c r="Y33" s="136">
        <v>2.9017560000000001E-3</v>
      </c>
    </row>
    <row r="34" spans="1:25">
      <c r="A34" s="125" t="s">
        <v>44</v>
      </c>
      <c r="B34" t="s">
        <v>75</v>
      </c>
      <c r="C34" s="186" t="s">
        <v>227</v>
      </c>
      <c r="D34" t="s">
        <v>225</v>
      </c>
      <c r="E34" t="s">
        <v>376</v>
      </c>
      <c r="F34" s="134">
        <v>3.8599594000000008E-2</v>
      </c>
      <c r="G34" s="135">
        <v>0.13575372800000002</v>
      </c>
      <c r="H34" s="135">
        <v>0.27313283000000005</v>
      </c>
      <c r="I34" s="135">
        <v>0.61822061299999997</v>
      </c>
      <c r="J34" s="136">
        <v>0.75360172199999997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4">
        <v>0</v>
      </c>
      <c r="Q34" s="135">
        <v>1.78042E-4</v>
      </c>
      <c r="R34" s="135">
        <v>1.6966299999999999E-4</v>
      </c>
      <c r="S34" s="135">
        <v>1.8918E-4</v>
      </c>
      <c r="T34" s="136">
        <v>1.7979999999999998E-4</v>
      </c>
      <c r="U34" s="135">
        <v>6.023473E-2</v>
      </c>
      <c r="V34" s="135">
        <v>0.40340362699999999</v>
      </c>
      <c r="W34" s="135">
        <v>0.62146310900000001</v>
      </c>
      <c r="X34" s="135">
        <v>0.79786897000000001</v>
      </c>
      <c r="Y34" s="136">
        <v>0.93531926200000004</v>
      </c>
    </row>
    <row r="35" spans="1:25">
      <c r="A35" s="125" t="s">
        <v>44</v>
      </c>
      <c r="B35" t="s">
        <v>75</v>
      </c>
      <c r="C35" s="186" t="s">
        <v>227</v>
      </c>
      <c r="D35" t="s">
        <v>228</v>
      </c>
      <c r="E35" t="s">
        <v>376</v>
      </c>
      <c r="F35" s="134">
        <v>5.6881899999999992E-4</v>
      </c>
      <c r="G35" s="135">
        <v>1.254291E-3</v>
      </c>
      <c r="H35" s="135">
        <v>2.9410390000000003E-3</v>
      </c>
      <c r="I35" s="135">
        <v>7.5630109999999997E-3</v>
      </c>
      <c r="J35" s="136">
        <v>1.32994273E-2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4">
        <v>0</v>
      </c>
      <c r="Q35" s="135">
        <v>2.5640000000000002E-5</v>
      </c>
      <c r="R35" s="135">
        <v>2.5640000000000002E-5</v>
      </c>
      <c r="S35" s="135">
        <v>3.2809999999999999E-5</v>
      </c>
      <c r="T35" s="136">
        <v>3.2564999999999997E-5</v>
      </c>
      <c r="U35" s="135">
        <v>5.5866991999999997E-2</v>
      </c>
      <c r="V35" s="135">
        <v>0.37267358499999997</v>
      </c>
      <c r="W35" s="135">
        <v>0.57194815099999996</v>
      </c>
      <c r="X35" s="135">
        <v>0.731689268</v>
      </c>
      <c r="Y35" s="136">
        <v>0.85490467400000003</v>
      </c>
    </row>
    <row r="36" spans="1:25">
      <c r="A36" s="125" t="s">
        <v>44</v>
      </c>
      <c r="B36" t="s">
        <v>75</v>
      </c>
      <c r="C36" s="186" t="s">
        <v>227</v>
      </c>
      <c r="D36" t="s">
        <v>230</v>
      </c>
      <c r="E36" t="s">
        <v>376</v>
      </c>
      <c r="F36" s="134">
        <v>3.9541136999999997E-2</v>
      </c>
      <c r="G36" s="135">
        <v>0.12113445299999999</v>
      </c>
      <c r="H36" s="135">
        <v>0.19820025099999999</v>
      </c>
      <c r="I36" s="135">
        <v>0.38287925600000006</v>
      </c>
      <c r="J36" s="136">
        <v>0.47910699499999992</v>
      </c>
      <c r="K36" s="135">
        <v>0</v>
      </c>
      <c r="L36" s="135">
        <v>0</v>
      </c>
      <c r="M36" s="135">
        <v>0</v>
      </c>
      <c r="N36" s="135">
        <v>0</v>
      </c>
      <c r="O36" s="135">
        <v>0</v>
      </c>
      <c r="P36" s="134">
        <v>0</v>
      </c>
      <c r="Q36" s="135">
        <v>9.3344999999999995E-5</v>
      </c>
      <c r="R36" s="135">
        <v>9.0099999999999995E-5</v>
      </c>
      <c r="S36" s="135">
        <v>1.184E-4</v>
      </c>
      <c r="T36" s="136">
        <v>1.1400000000000001E-4</v>
      </c>
      <c r="U36" s="135">
        <v>1.702408E-2</v>
      </c>
      <c r="V36" s="135">
        <v>0.113909814</v>
      </c>
      <c r="W36" s="135">
        <v>0.17530764099999999</v>
      </c>
      <c r="X36" s="135">
        <v>0.22484570700000001</v>
      </c>
      <c r="Y36" s="136">
        <v>0.26334237199999999</v>
      </c>
    </row>
    <row r="37" spans="1:25">
      <c r="A37" s="125" t="s">
        <v>44</v>
      </c>
      <c r="B37" t="s">
        <v>75</v>
      </c>
      <c r="C37" s="186" t="s">
        <v>227</v>
      </c>
      <c r="D37" t="s">
        <v>232</v>
      </c>
      <c r="E37" t="s">
        <v>376</v>
      </c>
      <c r="F37" s="134">
        <v>0.23768971699999997</v>
      </c>
      <c r="G37" s="135">
        <v>0.74630669399999994</v>
      </c>
      <c r="H37" s="135">
        <v>1.1668554309999999</v>
      </c>
      <c r="I37" s="135">
        <v>2.0992261910000001</v>
      </c>
      <c r="J37" s="136">
        <v>2.4530732070000005</v>
      </c>
      <c r="K37" s="135">
        <v>0</v>
      </c>
      <c r="L37" s="135">
        <v>0</v>
      </c>
      <c r="M37" s="135">
        <v>0</v>
      </c>
      <c r="N37" s="135">
        <v>0</v>
      </c>
      <c r="O37" s="135">
        <v>0</v>
      </c>
      <c r="P37" s="134">
        <v>0</v>
      </c>
      <c r="Q37" s="135">
        <v>4.5580000000000001E-5</v>
      </c>
      <c r="R37" s="135">
        <v>4.3970000000000001E-5</v>
      </c>
      <c r="S37" s="135">
        <v>5.6900000000000001E-5</v>
      </c>
      <c r="T37" s="136">
        <v>5.4410000000000003E-5</v>
      </c>
      <c r="U37" s="135">
        <v>1.6423498000000002E-2</v>
      </c>
      <c r="V37" s="135">
        <v>0.10982370700000001</v>
      </c>
      <c r="W37" s="135">
        <v>0.16894488399999999</v>
      </c>
      <c r="X37" s="135">
        <v>0.21660333600000001</v>
      </c>
      <c r="Y37" s="136">
        <v>0.25357175799999998</v>
      </c>
    </row>
    <row r="38" spans="1:25">
      <c r="A38" s="125" t="s">
        <v>44</v>
      </c>
      <c r="B38" t="s">
        <v>75</v>
      </c>
      <c r="C38" s="186" t="s">
        <v>301</v>
      </c>
      <c r="D38" t="s">
        <v>299</v>
      </c>
      <c r="E38" t="s">
        <v>376</v>
      </c>
      <c r="F38" s="134">
        <v>0.41362445000000003</v>
      </c>
      <c r="G38" s="135">
        <v>0.95936790399999994</v>
      </c>
      <c r="H38" s="135">
        <v>1.0913710719999998</v>
      </c>
      <c r="I38" s="135">
        <v>1.4998627600000001</v>
      </c>
      <c r="J38" s="136">
        <v>1.8152431519999999</v>
      </c>
      <c r="K38" s="135">
        <v>0</v>
      </c>
      <c r="L38" s="135">
        <v>0</v>
      </c>
      <c r="M38" s="135">
        <v>0</v>
      </c>
      <c r="N38" s="135">
        <v>0</v>
      </c>
      <c r="O38" s="135">
        <v>0</v>
      </c>
      <c r="P38" s="134">
        <v>0</v>
      </c>
      <c r="Q38" s="135">
        <v>0</v>
      </c>
      <c r="R38" s="135">
        <v>0</v>
      </c>
      <c r="S38" s="135">
        <v>0</v>
      </c>
      <c r="T38" s="136">
        <v>0</v>
      </c>
      <c r="U38" s="135">
        <v>3.3942194000000002E-2</v>
      </c>
      <c r="V38" s="135">
        <v>0.18196363500000001</v>
      </c>
      <c r="W38" s="135">
        <v>0.26249587200000002</v>
      </c>
      <c r="X38" s="135">
        <v>0.33017721999999999</v>
      </c>
      <c r="Y38" s="136">
        <v>0.38701995100000003</v>
      </c>
    </row>
    <row r="39" spans="1:25">
      <c r="A39" s="125" t="s">
        <v>44</v>
      </c>
      <c r="B39" t="s">
        <v>75</v>
      </c>
      <c r="C39" s="186" t="s">
        <v>301</v>
      </c>
      <c r="D39" t="s">
        <v>302</v>
      </c>
      <c r="E39" t="s">
        <v>376</v>
      </c>
      <c r="F39" s="134">
        <v>0.25560089499999999</v>
      </c>
      <c r="G39" s="135">
        <v>0.58092330400000003</v>
      </c>
      <c r="H39" s="135">
        <v>0.86722398700000003</v>
      </c>
      <c r="I39" s="135">
        <v>1.4216254019999999</v>
      </c>
      <c r="J39" s="136">
        <v>1.856793014</v>
      </c>
      <c r="K39" s="135">
        <v>0</v>
      </c>
      <c r="L39" s="135">
        <v>0</v>
      </c>
      <c r="M39" s="135">
        <v>0</v>
      </c>
      <c r="N39" s="135">
        <v>0</v>
      </c>
      <c r="O39" s="135">
        <v>0</v>
      </c>
      <c r="P39" s="134">
        <v>0</v>
      </c>
      <c r="Q39" s="135">
        <v>0</v>
      </c>
      <c r="R39" s="135">
        <v>0</v>
      </c>
      <c r="S39" s="135">
        <v>0</v>
      </c>
      <c r="T39" s="136">
        <v>0</v>
      </c>
      <c r="U39" s="135">
        <v>3.2480170000000003E-2</v>
      </c>
      <c r="V39" s="135">
        <v>0.170455307</v>
      </c>
      <c r="W39" s="135">
        <v>0.24294342699999999</v>
      </c>
      <c r="X39" s="135">
        <v>0.302975779</v>
      </c>
      <c r="Y39" s="136">
        <v>0.35280900100000001</v>
      </c>
    </row>
    <row r="40" spans="1:25">
      <c r="A40" s="125" t="s">
        <v>44</v>
      </c>
      <c r="B40" t="s">
        <v>75</v>
      </c>
      <c r="C40" s="186" t="s">
        <v>301</v>
      </c>
      <c r="D40" t="s">
        <v>304</v>
      </c>
      <c r="E40" t="s">
        <v>376</v>
      </c>
      <c r="F40" s="134">
        <v>5.5390804999999994E-2</v>
      </c>
      <c r="G40" s="135">
        <v>0.119734726</v>
      </c>
      <c r="H40" s="135">
        <v>0.198564354</v>
      </c>
      <c r="I40" s="135">
        <v>0.34804735699999995</v>
      </c>
      <c r="J40" s="136">
        <v>0.46465483399999996</v>
      </c>
      <c r="K40" s="135">
        <v>0</v>
      </c>
      <c r="L40" s="135">
        <v>0</v>
      </c>
      <c r="M40" s="135">
        <v>0</v>
      </c>
      <c r="N40" s="135">
        <v>0</v>
      </c>
      <c r="O40" s="135">
        <v>0</v>
      </c>
      <c r="P40" s="134">
        <v>0</v>
      </c>
      <c r="Q40" s="135">
        <v>0</v>
      </c>
      <c r="R40" s="135">
        <v>0</v>
      </c>
      <c r="S40" s="135">
        <v>0</v>
      </c>
      <c r="T40" s="136">
        <v>0</v>
      </c>
      <c r="U40" s="135">
        <v>0.188493309</v>
      </c>
      <c r="V40" s="135">
        <v>1.250919326</v>
      </c>
      <c r="W40" s="135">
        <v>1.930247182</v>
      </c>
      <c r="X40" s="135">
        <v>2.4879064140000002</v>
      </c>
      <c r="Y40" s="136">
        <v>2.9307516329999999</v>
      </c>
    </row>
    <row r="41" spans="1:25">
      <c r="A41" s="125" t="s">
        <v>44</v>
      </c>
      <c r="B41" t="s">
        <v>75</v>
      </c>
      <c r="C41" s="186" t="s">
        <v>301</v>
      </c>
      <c r="D41" t="s">
        <v>306</v>
      </c>
      <c r="E41" t="s">
        <v>376</v>
      </c>
      <c r="F41" s="134">
        <v>0.193680993</v>
      </c>
      <c r="G41" s="135">
        <v>0.49260165700000003</v>
      </c>
      <c r="H41" s="135">
        <v>0.82045409199999997</v>
      </c>
      <c r="I41" s="135">
        <v>1.4379240740000001</v>
      </c>
      <c r="J41" s="136">
        <v>1.9053432679999998</v>
      </c>
      <c r="K41" s="135">
        <v>0</v>
      </c>
      <c r="L41" s="135">
        <v>0</v>
      </c>
      <c r="M41" s="135">
        <v>0</v>
      </c>
      <c r="N41" s="135">
        <v>0</v>
      </c>
      <c r="O41" s="135">
        <v>0</v>
      </c>
      <c r="P41" s="134">
        <v>0</v>
      </c>
      <c r="Q41" s="135">
        <v>0</v>
      </c>
      <c r="R41" s="135">
        <v>0</v>
      </c>
      <c r="S41" s="135">
        <v>0</v>
      </c>
      <c r="T41" s="136">
        <v>0</v>
      </c>
      <c r="U41" s="135">
        <v>2.8678069E-2</v>
      </c>
      <c r="V41" s="135">
        <v>6.7461052999999993E-2</v>
      </c>
      <c r="W41" s="135">
        <v>5.1963230999999999E-2</v>
      </c>
      <c r="X41" s="135">
        <v>4.3116599999999998E-2</v>
      </c>
      <c r="Y41" s="136">
        <v>4.4251863000000002E-2</v>
      </c>
    </row>
    <row r="42" spans="1:25">
      <c r="A42" s="125" t="s">
        <v>44</v>
      </c>
      <c r="B42" t="s">
        <v>75</v>
      </c>
      <c r="C42" s="186" t="s">
        <v>301</v>
      </c>
      <c r="D42" t="s">
        <v>308</v>
      </c>
      <c r="E42" t="s">
        <v>376</v>
      </c>
      <c r="F42" s="134">
        <v>0.37332335499999997</v>
      </c>
      <c r="G42" s="135">
        <v>0.86321288099999982</v>
      </c>
      <c r="H42" s="135">
        <v>1.419596895</v>
      </c>
      <c r="I42" s="135">
        <v>2.4651030500000002</v>
      </c>
      <c r="J42" s="136">
        <v>0.46465483399999996</v>
      </c>
      <c r="K42" s="135">
        <v>0</v>
      </c>
      <c r="L42" s="135">
        <v>0</v>
      </c>
      <c r="M42" s="135">
        <v>0</v>
      </c>
      <c r="N42" s="135">
        <v>0</v>
      </c>
      <c r="O42" s="135">
        <v>0</v>
      </c>
      <c r="P42" s="134">
        <v>0</v>
      </c>
      <c r="Q42" s="135">
        <v>0</v>
      </c>
      <c r="R42" s="135">
        <v>0</v>
      </c>
      <c r="S42" s="135">
        <v>0</v>
      </c>
      <c r="T42" s="136">
        <v>0</v>
      </c>
      <c r="U42" s="135">
        <v>0.34867082499999996</v>
      </c>
      <c r="V42" s="135">
        <v>2.2510166550000004</v>
      </c>
      <c r="W42" s="135">
        <v>3.4185380169999999</v>
      </c>
      <c r="X42" s="135">
        <v>4.3517817870000002</v>
      </c>
      <c r="Y42" s="136">
        <v>5.071654455</v>
      </c>
    </row>
    <row r="43" spans="1:25">
      <c r="A43" s="125" t="s">
        <v>44</v>
      </c>
      <c r="B43" t="s">
        <v>75</v>
      </c>
      <c r="C43" s="186" t="s">
        <v>301</v>
      </c>
      <c r="D43" t="s">
        <v>310</v>
      </c>
      <c r="E43" t="s">
        <v>376</v>
      </c>
      <c r="F43" s="134">
        <v>0.19610649699999999</v>
      </c>
      <c r="G43" s="135">
        <v>0.49190014199999993</v>
      </c>
      <c r="H43" s="135">
        <v>0.82302137299999989</v>
      </c>
      <c r="I43" s="135">
        <v>1.4457207349999999</v>
      </c>
      <c r="J43" s="136">
        <v>1.9167565469999999</v>
      </c>
      <c r="K43" s="135">
        <v>0</v>
      </c>
      <c r="L43" s="135">
        <v>0</v>
      </c>
      <c r="M43" s="135">
        <v>0</v>
      </c>
      <c r="N43" s="135">
        <v>0</v>
      </c>
      <c r="O43" s="135">
        <v>0</v>
      </c>
      <c r="P43" s="134">
        <v>0</v>
      </c>
      <c r="Q43" s="135">
        <v>0</v>
      </c>
      <c r="R43" s="135">
        <v>0</v>
      </c>
      <c r="S43" s="135">
        <v>0</v>
      </c>
      <c r="T43" s="136">
        <v>0</v>
      </c>
      <c r="U43" s="135">
        <v>0.108714214</v>
      </c>
      <c r="V43" s="135">
        <v>0.642556609</v>
      </c>
      <c r="W43" s="135">
        <v>0.95054298199999998</v>
      </c>
      <c r="X43" s="135">
        <v>1.1987728850000001</v>
      </c>
      <c r="Y43" s="136">
        <v>1.3943315000000001</v>
      </c>
    </row>
    <row r="44" spans="1:25">
      <c r="A44" s="125" t="s">
        <v>44</v>
      </c>
      <c r="B44" t="s">
        <v>75</v>
      </c>
      <c r="C44" s="186" t="s">
        <v>301</v>
      </c>
      <c r="D44" t="s">
        <v>312</v>
      </c>
      <c r="E44" t="s">
        <v>376</v>
      </c>
      <c r="F44" s="134">
        <v>1.1039005000000001E-2</v>
      </c>
      <c r="G44" s="135">
        <v>2.7592776000000003E-2</v>
      </c>
      <c r="H44" s="135">
        <v>4.7723225000000001E-2</v>
      </c>
      <c r="I44" s="135">
        <v>8.5515282999999997E-2</v>
      </c>
      <c r="J44" s="136">
        <v>0.11461811599999999</v>
      </c>
      <c r="K44" s="135">
        <v>0</v>
      </c>
      <c r="L44" s="135">
        <v>0</v>
      </c>
      <c r="M44" s="135">
        <v>0</v>
      </c>
      <c r="N44" s="135">
        <v>0</v>
      </c>
      <c r="O44" s="135">
        <v>0</v>
      </c>
      <c r="P44" s="134">
        <v>0</v>
      </c>
      <c r="Q44" s="135">
        <v>0</v>
      </c>
      <c r="R44" s="135">
        <v>0</v>
      </c>
      <c r="S44" s="135">
        <v>0</v>
      </c>
      <c r="T44" s="136">
        <v>0</v>
      </c>
      <c r="U44" s="135">
        <v>0.120658078</v>
      </c>
      <c r="V44" s="135">
        <v>0.80112629199999996</v>
      </c>
      <c r="W44" s="135">
        <v>1.2308570780000001</v>
      </c>
      <c r="X44" s="135">
        <v>1.577885743</v>
      </c>
      <c r="Y44" s="136">
        <v>1.8478759039999999</v>
      </c>
    </row>
    <row r="45" spans="1:25">
      <c r="A45" s="125" t="s">
        <v>44</v>
      </c>
      <c r="B45" t="s">
        <v>75</v>
      </c>
      <c r="C45" s="186" t="s">
        <v>117</v>
      </c>
      <c r="D45" t="s">
        <v>161</v>
      </c>
      <c r="E45" t="s">
        <v>376</v>
      </c>
      <c r="F45" s="134">
        <v>0.73000078489999998</v>
      </c>
      <c r="G45" s="135">
        <v>1.8721949339999999</v>
      </c>
      <c r="H45" s="135">
        <v>2.5641480539999999</v>
      </c>
      <c r="I45" s="135">
        <v>3.6995234930000001</v>
      </c>
      <c r="J45" s="136">
        <v>4.6931405670000004</v>
      </c>
      <c r="K45" s="135">
        <v>0</v>
      </c>
      <c r="L45" s="135">
        <v>0</v>
      </c>
      <c r="M45" s="135">
        <v>0</v>
      </c>
      <c r="N45" s="135">
        <v>0</v>
      </c>
      <c r="O45" s="135">
        <v>0</v>
      </c>
      <c r="P45" s="134">
        <v>0</v>
      </c>
      <c r="Q45" s="135">
        <v>0</v>
      </c>
      <c r="R45" s="135">
        <v>0</v>
      </c>
      <c r="S45" s="135">
        <v>0</v>
      </c>
      <c r="T45" s="136">
        <v>0</v>
      </c>
      <c r="U45" s="135">
        <v>3.1341096999999998E-2</v>
      </c>
      <c r="V45" s="135">
        <v>0.16842958199999999</v>
      </c>
      <c r="W45" s="135">
        <v>0.24194016499999998</v>
      </c>
      <c r="X45" s="135">
        <v>0.30240312499999999</v>
      </c>
      <c r="Y45" s="136">
        <v>0.35197894599999996</v>
      </c>
    </row>
    <row r="46" spans="1:25">
      <c r="A46" s="125" t="s">
        <v>44</v>
      </c>
      <c r="B46" t="s">
        <v>75</v>
      </c>
      <c r="C46" s="186" t="s">
        <v>117</v>
      </c>
      <c r="D46" t="s">
        <v>163</v>
      </c>
      <c r="E46" t="s">
        <v>376</v>
      </c>
      <c r="F46" s="134">
        <v>5.7407999999999997E-5</v>
      </c>
      <c r="G46" s="135">
        <v>1.3723699999999999E-4</v>
      </c>
      <c r="H46" s="135">
        <v>2.37493E-4</v>
      </c>
      <c r="I46" s="135">
        <v>6.4404900000000005E-4</v>
      </c>
      <c r="J46" s="136">
        <v>1.0807379999999999E-3</v>
      </c>
      <c r="K46" s="135">
        <v>0</v>
      </c>
      <c r="L46" s="135">
        <v>0</v>
      </c>
      <c r="M46" s="135">
        <v>0</v>
      </c>
      <c r="N46" s="135">
        <v>0</v>
      </c>
      <c r="O46" s="135">
        <v>0</v>
      </c>
      <c r="P46" s="134">
        <v>0</v>
      </c>
      <c r="Q46" s="135">
        <v>0</v>
      </c>
      <c r="R46" s="135">
        <v>0</v>
      </c>
      <c r="S46" s="135">
        <v>0</v>
      </c>
      <c r="T46" s="136">
        <v>0</v>
      </c>
      <c r="U46" s="135">
        <v>4.85E-5</v>
      </c>
      <c r="V46" s="135">
        <v>3.2315000000000002E-4</v>
      </c>
      <c r="W46" s="135">
        <v>4.9539699999999996E-4</v>
      </c>
      <c r="X46" s="135">
        <v>6.3281500000000001E-4</v>
      </c>
      <c r="Y46" s="136">
        <v>7.3798500000000003E-4</v>
      </c>
    </row>
    <row r="47" spans="1:25">
      <c r="A47" s="125" t="s">
        <v>44</v>
      </c>
      <c r="B47" t="s">
        <v>75</v>
      </c>
      <c r="C47" s="186" t="s">
        <v>119</v>
      </c>
      <c r="D47" t="s">
        <v>165</v>
      </c>
      <c r="E47" t="s">
        <v>376</v>
      </c>
      <c r="F47" s="134">
        <v>9.3544666999999998E-2</v>
      </c>
      <c r="G47" s="135">
        <v>0.21461852200000003</v>
      </c>
      <c r="H47" s="135">
        <v>0.38608214600000001</v>
      </c>
      <c r="I47" s="135">
        <v>1.1234743390000002</v>
      </c>
      <c r="J47" s="136">
        <v>1.8628792650000001</v>
      </c>
      <c r="K47" s="135">
        <v>0</v>
      </c>
      <c r="L47" s="135">
        <v>0</v>
      </c>
      <c r="M47" s="135">
        <v>0</v>
      </c>
      <c r="N47" s="135">
        <v>0</v>
      </c>
      <c r="O47" s="135">
        <v>0</v>
      </c>
      <c r="P47" s="134">
        <v>3.208752E-3</v>
      </c>
      <c r="Q47" s="135">
        <v>1.3153146000000001E-2</v>
      </c>
      <c r="R47" s="135">
        <v>1.5624586999999997E-2</v>
      </c>
      <c r="S47" s="135">
        <v>1.3599662E-2</v>
      </c>
      <c r="T47" s="136">
        <v>1.3341861000000002E-2</v>
      </c>
      <c r="U47" s="135">
        <v>0.58173951800000001</v>
      </c>
      <c r="V47" s="135">
        <v>3.8642126480000001</v>
      </c>
      <c r="W47" s="135">
        <v>5.9331198659999993</v>
      </c>
      <c r="X47" s="135">
        <v>7.5958305300000006</v>
      </c>
      <c r="Y47" s="136">
        <v>8.885747963</v>
      </c>
    </row>
    <row r="48" spans="1:25">
      <c r="A48" s="125" t="s">
        <v>44</v>
      </c>
      <c r="B48" t="s">
        <v>75</v>
      </c>
      <c r="C48" s="186" t="s">
        <v>119</v>
      </c>
      <c r="D48" t="s">
        <v>167</v>
      </c>
      <c r="E48" t="s">
        <v>376</v>
      </c>
      <c r="F48" s="134">
        <v>1.9863938170000001E-2</v>
      </c>
      <c r="G48" s="135">
        <v>5.9038122000000012E-2</v>
      </c>
      <c r="H48" s="135">
        <v>0.10739137400000001</v>
      </c>
      <c r="I48" s="135">
        <v>0.23404372700000001</v>
      </c>
      <c r="J48" s="136">
        <v>0.30377169300000001</v>
      </c>
      <c r="K48" s="135">
        <v>0</v>
      </c>
      <c r="L48" s="135">
        <v>0</v>
      </c>
      <c r="M48" s="135">
        <v>0</v>
      </c>
      <c r="N48" s="135">
        <v>0</v>
      </c>
      <c r="O48" s="135">
        <v>0</v>
      </c>
      <c r="P48" s="134">
        <v>4.1853700000000002E-4</v>
      </c>
      <c r="Q48" s="135">
        <v>1.65256E-3</v>
      </c>
      <c r="R48" s="135">
        <v>1.9165359999999999E-3</v>
      </c>
      <c r="S48" s="135">
        <v>1.5869730000000002E-3</v>
      </c>
      <c r="T48" s="136">
        <v>1.497172E-3</v>
      </c>
      <c r="U48" s="135">
        <v>1.3748019E-2</v>
      </c>
      <c r="V48" s="135">
        <v>3.5188086E-2</v>
      </c>
      <c r="W48" s="135">
        <v>3.0442368000000001E-2</v>
      </c>
      <c r="X48" s="135">
        <v>2.8274703000000002E-2</v>
      </c>
      <c r="Y48" s="136">
        <v>3.0238987000000002E-2</v>
      </c>
    </row>
    <row r="49" spans="1:25">
      <c r="A49" s="125" t="s">
        <v>44</v>
      </c>
      <c r="B49" t="s">
        <v>75</v>
      </c>
      <c r="C49" s="186" t="s">
        <v>119</v>
      </c>
      <c r="D49" t="s">
        <v>169</v>
      </c>
      <c r="E49" t="s">
        <v>376</v>
      </c>
      <c r="F49" s="134">
        <v>3.220751644E-2</v>
      </c>
      <c r="G49" s="135">
        <v>8.7425015999999994E-2</v>
      </c>
      <c r="H49" s="135">
        <v>0.14598376899999999</v>
      </c>
      <c r="I49" s="135">
        <v>0.33130743399999996</v>
      </c>
      <c r="J49" s="136">
        <v>0.45232670000000003</v>
      </c>
      <c r="K49" s="135">
        <v>0</v>
      </c>
      <c r="L49" s="135">
        <v>0</v>
      </c>
      <c r="M49" s="135">
        <v>0</v>
      </c>
      <c r="N49" s="135">
        <v>0</v>
      </c>
      <c r="O49" s="135">
        <v>0</v>
      </c>
      <c r="P49" s="134">
        <v>2.8001499999999999E-4</v>
      </c>
      <c r="Q49" s="135">
        <v>1.2048E-3</v>
      </c>
      <c r="R49" s="135">
        <v>1.4174540000000001E-3</v>
      </c>
      <c r="S49" s="135">
        <v>1.1806119999999999E-3</v>
      </c>
      <c r="T49" s="136">
        <v>1.103372E-3</v>
      </c>
      <c r="U49" s="135">
        <v>1.1829750999999999E-2</v>
      </c>
      <c r="V49" s="135">
        <v>2.7029658999999998E-2</v>
      </c>
      <c r="W49" s="135">
        <v>1.9906485999999998E-2</v>
      </c>
      <c r="X49" s="135">
        <v>1.5726039000000001E-2</v>
      </c>
      <c r="Y49" s="136">
        <v>1.5866773000000001E-2</v>
      </c>
    </row>
    <row r="50" spans="1:25">
      <c r="A50" s="125" t="s">
        <v>44</v>
      </c>
      <c r="B50" t="s">
        <v>75</v>
      </c>
      <c r="C50" s="186" t="s">
        <v>119</v>
      </c>
      <c r="D50" t="s">
        <v>171</v>
      </c>
      <c r="E50" t="s">
        <v>376</v>
      </c>
      <c r="F50" s="134">
        <v>4.5168618329999993E-2</v>
      </c>
      <c r="G50" s="135">
        <v>0.14395063599999999</v>
      </c>
      <c r="H50" s="135">
        <v>0.26114867200000003</v>
      </c>
      <c r="I50" s="135">
        <v>0.56157200699999998</v>
      </c>
      <c r="J50" s="136">
        <v>0.68481644599999991</v>
      </c>
      <c r="K50" s="135">
        <v>0</v>
      </c>
      <c r="L50" s="135">
        <v>0</v>
      </c>
      <c r="M50" s="135">
        <v>0</v>
      </c>
      <c r="N50" s="135">
        <v>0</v>
      </c>
      <c r="O50" s="135">
        <v>0</v>
      </c>
      <c r="P50" s="134">
        <v>1.8568600000000001E-4</v>
      </c>
      <c r="Q50" s="135">
        <v>8.4185E-4</v>
      </c>
      <c r="R50" s="135">
        <v>1.0029239999999999E-3</v>
      </c>
      <c r="S50" s="135">
        <v>8.4396199999999986E-4</v>
      </c>
      <c r="T50" s="136">
        <v>7.89696E-4</v>
      </c>
      <c r="U50" s="135">
        <v>1.162416E-2</v>
      </c>
      <c r="V50" s="135">
        <v>3.5381327000000004E-2</v>
      </c>
      <c r="W50" s="135">
        <v>3.6700631999999997E-2</v>
      </c>
      <c r="X50" s="135">
        <v>3.8970295000000002E-2</v>
      </c>
      <c r="Y50" s="136">
        <v>4.3416622000000002E-2</v>
      </c>
    </row>
    <row r="51" spans="1:25">
      <c r="A51" s="125" t="s">
        <v>44</v>
      </c>
      <c r="B51" t="s">
        <v>75</v>
      </c>
      <c r="C51" s="186" t="s">
        <v>119</v>
      </c>
      <c r="D51" t="s">
        <v>173</v>
      </c>
      <c r="E51" t="s">
        <v>376</v>
      </c>
      <c r="F51" s="134">
        <v>0.54723442920000009</v>
      </c>
      <c r="G51" s="135">
        <v>1.254838224</v>
      </c>
      <c r="H51" s="135">
        <v>1.4911541009999998</v>
      </c>
      <c r="I51" s="135">
        <v>2.4713023179999998</v>
      </c>
      <c r="J51" s="136">
        <v>2.8875320799999997</v>
      </c>
      <c r="K51" s="135">
        <v>0</v>
      </c>
      <c r="L51" s="135">
        <v>0</v>
      </c>
      <c r="M51" s="135">
        <v>0</v>
      </c>
      <c r="N51" s="135">
        <v>0</v>
      </c>
      <c r="O51" s="135">
        <v>0</v>
      </c>
      <c r="P51" s="134">
        <v>3.9090199999999999E-4</v>
      </c>
      <c r="Q51" s="135">
        <v>1.7129179999999999E-3</v>
      </c>
      <c r="R51" s="135">
        <v>2.0404960000000001E-3</v>
      </c>
      <c r="S51" s="135">
        <v>1.7147100000000001E-3</v>
      </c>
      <c r="T51" s="136">
        <v>1.6120240000000001E-3</v>
      </c>
      <c r="U51" s="135">
        <v>4.6847093999999999E-2</v>
      </c>
      <c r="V51" s="135">
        <v>0.24251087700000001</v>
      </c>
      <c r="W51" s="135">
        <v>0.34174112499999998</v>
      </c>
      <c r="X51" s="135">
        <v>0.422815418</v>
      </c>
      <c r="Y51" s="136">
        <v>0.48947031499999999</v>
      </c>
    </row>
    <row r="52" spans="1:25">
      <c r="A52" s="125" t="s">
        <v>44</v>
      </c>
      <c r="B52" t="s">
        <v>75</v>
      </c>
      <c r="C52" s="186" t="s">
        <v>119</v>
      </c>
      <c r="D52" t="s">
        <v>175</v>
      </c>
      <c r="E52" t="s">
        <v>376</v>
      </c>
      <c r="F52" s="134">
        <v>0.28095694005999994</v>
      </c>
      <c r="G52" s="135">
        <v>0.75305387299999993</v>
      </c>
      <c r="H52" s="135">
        <v>1.1395070999999999</v>
      </c>
      <c r="I52" s="135">
        <v>2.264273862</v>
      </c>
      <c r="J52" s="136">
        <v>2.7759843209999997</v>
      </c>
      <c r="K52" s="135">
        <v>0</v>
      </c>
      <c r="L52" s="135">
        <v>0</v>
      </c>
      <c r="M52" s="135">
        <v>0</v>
      </c>
      <c r="N52" s="135">
        <v>0</v>
      </c>
      <c r="O52" s="135">
        <v>0</v>
      </c>
      <c r="P52" s="134">
        <v>4.9708900000000004E-4</v>
      </c>
      <c r="Q52" s="135">
        <v>2.0668800000000001E-3</v>
      </c>
      <c r="R52" s="135">
        <v>2.4315340000000004E-3</v>
      </c>
      <c r="S52" s="135">
        <v>2.0242369999999999E-3</v>
      </c>
      <c r="T52" s="136">
        <v>1.903098E-3</v>
      </c>
      <c r="U52" s="135">
        <v>7.2764071E-2</v>
      </c>
      <c r="V52" s="135">
        <v>0.410947652</v>
      </c>
      <c r="W52" s="135">
        <v>0.60128329400000002</v>
      </c>
      <c r="X52" s="135">
        <v>0.75786743600000006</v>
      </c>
      <c r="Y52" s="136">
        <v>0.884846617</v>
      </c>
    </row>
    <row r="53" spans="1:25">
      <c r="A53" s="125" t="s">
        <v>44</v>
      </c>
      <c r="B53" t="s">
        <v>75</v>
      </c>
      <c r="C53" s="186" t="s">
        <v>119</v>
      </c>
      <c r="D53" t="s">
        <v>177</v>
      </c>
      <c r="E53" t="s">
        <v>376</v>
      </c>
      <c r="F53" s="134">
        <v>5.532257950000001E-2</v>
      </c>
      <c r="G53" s="135">
        <v>0.16630325600000001</v>
      </c>
      <c r="H53" s="135">
        <v>0.310115894</v>
      </c>
      <c r="I53" s="135">
        <v>0.71000307700000009</v>
      </c>
      <c r="J53" s="136">
        <v>0.96809509699999996</v>
      </c>
      <c r="K53" s="135">
        <v>0</v>
      </c>
      <c r="L53" s="135">
        <v>0</v>
      </c>
      <c r="M53" s="135">
        <v>0</v>
      </c>
      <c r="N53" s="135">
        <v>0</v>
      </c>
      <c r="O53" s="135">
        <v>0</v>
      </c>
      <c r="P53" s="134">
        <v>3.9937200000000005E-4</v>
      </c>
      <c r="Q53" s="135">
        <v>1.9532159999999998E-3</v>
      </c>
      <c r="R53" s="135">
        <v>2.4163479999999996E-3</v>
      </c>
      <c r="S53" s="135">
        <v>2.0927770000000001E-3</v>
      </c>
      <c r="T53" s="136">
        <v>1.9941939999999999E-3</v>
      </c>
      <c r="U53" s="135">
        <v>4.7104636000000005E-2</v>
      </c>
      <c r="V53" s="135">
        <v>0.270883178</v>
      </c>
      <c r="W53" s="135">
        <v>0.39841533300000004</v>
      </c>
      <c r="X53" s="135">
        <v>0.50310436999999997</v>
      </c>
      <c r="Y53" s="136">
        <v>0.58731588400000001</v>
      </c>
    </row>
    <row r="54" spans="1:25">
      <c r="A54" s="125" t="s">
        <v>44</v>
      </c>
      <c r="B54" t="s">
        <v>75</v>
      </c>
      <c r="C54" s="186" t="s">
        <v>119</v>
      </c>
      <c r="D54" t="s">
        <v>179</v>
      </c>
      <c r="E54" t="s">
        <v>376</v>
      </c>
      <c r="F54" s="134">
        <v>8.6056740000000007E-3</v>
      </c>
      <c r="G54" s="135">
        <v>1.9735820999999997E-2</v>
      </c>
      <c r="H54" s="135">
        <v>4.2025029000000005E-2</v>
      </c>
      <c r="I54" s="135">
        <v>0.125860429</v>
      </c>
      <c r="J54" s="136">
        <v>0.23589436499999999</v>
      </c>
      <c r="K54" s="135">
        <v>0</v>
      </c>
      <c r="L54" s="135">
        <v>0</v>
      </c>
      <c r="M54" s="135">
        <v>0</v>
      </c>
      <c r="N54" s="135">
        <v>0</v>
      </c>
      <c r="O54" s="135">
        <v>0</v>
      </c>
      <c r="P54" s="134">
        <v>3.5015800000000004E-4</v>
      </c>
      <c r="Q54" s="135">
        <v>1.517586E-3</v>
      </c>
      <c r="R54" s="135">
        <v>1.814757E-3</v>
      </c>
      <c r="S54" s="135">
        <v>1.5367879999999999E-3</v>
      </c>
      <c r="T54" s="136">
        <v>1.458062E-3</v>
      </c>
      <c r="U54" s="135">
        <v>1.1311791E-2</v>
      </c>
      <c r="V54" s="135">
        <v>7.2449685E-2</v>
      </c>
      <c r="W54" s="135">
        <v>0.109977703</v>
      </c>
      <c r="X54" s="135">
        <v>0.14028589800000002</v>
      </c>
      <c r="Y54" s="136">
        <v>0.16394857599999998</v>
      </c>
    </row>
    <row r="55" spans="1:25">
      <c r="A55" s="125" t="s">
        <v>44</v>
      </c>
      <c r="B55" t="s">
        <v>75</v>
      </c>
      <c r="C55" s="186" t="s">
        <v>119</v>
      </c>
      <c r="D55" t="s">
        <v>181</v>
      </c>
      <c r="E55" t="s">
        <v>376</v>
      </c>
      <c r="F55" s="134">
        <v>8.4138787799999989E-2</v>
      </c>
      <c r="G55" s="135">
        <v>0.25200524800000002</v>
      </c>
      <c r="H55" s="135">
        <v>0.44725089400000001</v>
      </c>
      <c r="I55" s="135">
        <v>0.97572997399999994</v>
      </c>
      <c r="J55" s="136">
        <v>1.252821556</v>
      </c>
      <c r="K55" s="135">
        <v>0</v>
      </c>
      <c r="L55" s="135">
        <v>0</v>
      </c>
      <c r="M55" s="135">
        <v>0</v>
      </c>
      <c r="N55" s="135">
        <v>0</v>
      </c>
      <c r="O55" s="135">
        <v>0</v>
      </c>
      <c r="P55" s="134">
        <v>7.1385999999999997E-4</v>
      </c>
      <c r="Q55" s="135">
        <v>3.0435459999999998E-3</v>
      </c>
      <c r="R55" s="135">
        <v>3.6341949999999998E-3</v>
      </c>
      <c r="S55" s="135">
        <v>3.0642299999999998E-3</v>
      </c>
      <c r="T55" s="136">
        <v>2.9084530000000005E-3</v>
      </c>
      <c r="U55" s="135">
        <v>7.1599535999999991E-2</v>
      </c>
      <c r="V55" s="135">
        <v>0.39261117400000001</v>
      </c>
      <c r="W55" s="135">
        <v>0.56725283699999995</v>
      </c>
      <c r="X55" s="135">
        <v>0.71029542600000006</v>
      </c>
      <c r="Y55" s="136">
        <v>0.82655273499999993</v>
      </c>
    </row>
    <row r="56" spans="1:25">
      <c r="A56" s="125" t="s">
        <v>44</v>
      </c>
      <c r="B56" t="s">
        <v>75</v>
      </c>
      <c r="C56" s="186" t="s">
        <v>119</v>
      </c>
      <c r="D56" t="s">
        <v>183</v>
      </c>
      <c r="E56" t="s">
        <v>376</v>
      </c>
      <c r="F56" s="134">
        <v>7.9633452889999998E-2</v>
      </c>
      <c r="G56" s="135">
        <v>0.26824907099999995</v>
      </c>
      <c r="H56" s="135">
        <v>0.49278300000000003</v>
      </c>
      <c r="I56" s="135">
        <v>1.0964430390000002</v>
      </c>
      <c r="J56" s="136">
        <v>1.38030831</v>
      </c>
      <c r="K56" s="135">
        <v>0</v>
      </c>
      <c r="L56" s="135">
        <v>0</v>
      </c>
      <c r="M56" s="135">
        <v>0</v>
      </c>
      <c r="N56" s="135">
        <v>0</v>
      </c>
      <c r="O56" s="135">
        <v>0</v>
      </c>
      <c r="P56" s="134">
        <v>1.0359849999999999E-3</v>
      </c>
      <c r="Q56" s="135">
        <v>4.4817649999999995E-3</v>
      </c>
      <c r="R56" s="135">
        <v>5.378089E-3</v>
      </c>
      <c r="S56" s="135">
        <v>4.5687140000000006E-3</v>
      </c>
      <c r="T56" s="136">
        <v>4.3590349999999998E-3</v>
      </c>
      <c r="U56" s="135">
        <v>8.5524610000000001E-2</v>
      </c>
      <c r="V56" s="135">
        <v>0.49958946500000001</v>
      </c>
      <c r="W56" s="135">
        <v>0.73947170500000003</v>
      </c>
      <c r="X56" s="135">
        <v>0.93662411699999992</v>
      </c>
      <c r="Y56" s="136">
        <v>1.0951294789999999</v>
      </c>
    </row>
    <row r="57" spans="1:25">
      <c r="A57" s="125" t="s">
        <v>44</v>
      </c>
      <c r="B57" t="s">
        <v>75</v>
      </c>
      <c r="C57" s="186" t="s">
        <v>119</v>
      </c>
      <c r="D57" t="s">
        <v>185</v>
      </c>
      <c r="E57" t="s">
        <v>376</v>
      </c>
      <c r="F57" s="134">
        <v>0.34747877860000004</v>
      </c>
      <c r="G57" s="135">
        <v>0.88075336800000015</v>
      </c>
      <c r="H57" s="135">
        <v>1.2125761510000002</v>
      </c>
      <c r="I57" s="135">
        <v>2.3034410250000001</v>
      </c>
      <c r="J57" s="136">
        <v>2.7716835629999999</v>
      </c>
      <c r="K57" s="135">
        <v>0</v>
      </c>
      <c r="L57" s="135">
        <v>0</v>
      </c>
      <c r="M57" s="135">
        <v>0</v>
      </c>
      <c r="N57" s="135">
        <v>0</v>
      </c>
      <c r="O57" s="135">
        <v>0</v>
      </c>
      <c r="P57" s="134">
        <v>1.334991E-3</v>
      </c>
      <c r="Q57" s="135">
        <v>6.338308E-3</v>
      </c>
      <c r="R57" s="135">
        <v>7.7896479999999997E-3</v>
      </c>
      <c r="S57" s="135">
        <v>6.7481959999999997E-3</v>
      </c>
      <c r="T57" s="136">
        <v>6.4612089999999999E-3</v>
      </c>
      <c r="U57" s="135">
        <v>8.7662575999999992E-2</v>
      </c>
      <c r="V57" s="135">
        <v>0.48627072199999999</v>
      </c>
      <c r="W57" s="135">
        <v>0.70576547000000001</v>
      </c>
      <c r="X57" s="135">
        <v>0.88570217800000006</v>
      </c>
      <c r="Y57" s="136">
        <v>1.031567728</v>
      </c>
    </row>
    <row r="58" spans="1:25">
      <c r="A58" s="125" t="s">
        <v>44</v>
      </c>
      <c r="B58" t="s">
        <v>75</v>
      </c>
      <c r="C58" s="186" t="s">
        <v>119</v>
      </c>
      <c r="D58" t="s">
        <v>187</v>
      </c>
      <c r="E58" t="s">
        <v>376</v>
      </c>
      <c r="F58" s="134">
        <v>0.31014821660000003</v>
      </c>
      <c r="G58" s="135">
        <v>0.66426374200000005</v>
      </c>
      <c r="H58" s="135">
        <v>0.69058780399999986</v>
      </c>
      <c r="I58" s="135">
        <v>0.98008378500000004</v>
      </c>
      <c r="J58" s="136">
        <v>1.0944164839999999</v>
      </c>
      <c r="K58" s="135">
        <v>0</v>
      </c>
      <c r="L58" s="135">
        <v>0</v>
      </c>
      <c r="M58" s="135">
        <v>0</v>
      </c>
      <c r="N58" s="135">
        <v>0</v>
      </c>
      <c r="O58" s="135">
        <v>0</v>
      </c>
      <c r="P58" s="134">
        <v>9.5141799999999999E-4</v>
      </c>
      <c r="Q58" s="135">
        <v>3.6168859999999997E-3</v>
      </c>
      <c r="R58" s="135">
        <v>4.2136889999999996E-3</v>
      </c>
      <c r="S58" s="135">
        <v>3.4925739999999996E-3</v>
      </c>
      <c r="T58" s="136">
        <v>3.331044E-3</v>
      </c>
      <c r="U58" s="135">
        <v>0.14000711699999999</v>
      </c>
      <c r="V58" s="135">
        <v>0.88919042500000001</v>
      </c>
      <c r="W58" s="135">
        <v>1.347505291</v>
      </c>
      <c r="X58" s="135">
        <v>1.7189681379999999</v>
      </c>
      <c r="Y58" s="136">
        <v>2.0097596470000001</v>
      </c>
    </row>
    <row r="59" spans="1:25">
      <c r="A59" s="125" t="s">
        <v>44</v>
      </c>
      <c r="B59" t="s">
        <v>75</v>
      </c>
      <c r="C59" s="186" t="s">
        <v>119</v>
      </c>
      <c r="D59" t="s">
        <v>189</v>
      </c>
      <c r="E59" t="s">
        <v>376</v>
      </c>
      <c r="F59" s="134">
        <v>2.3421138999999997E-4</v>
      </c>
      <c r="G59" s="135">
        <v>5.7767063000000005E-4</v>
      </c>
      <c r="H59" s="135">
        <v>1.24521653E-3</v>
      </c>
      <c r="I59" s="135">
        <v>3.8141205E-3</v>
      </c>
      <c r="J59" s="136">
        <v>7.5661310000000002E-3</v>
      </c>
      <c r="K59" s="135">
        <v>0</v>
      </c>
      <c r="L59" s="135">
        <v>0</v>
      </c>
      <c r="M59" s="135">
        <v>0</v>
      </c>
      <c r="N59" s="135">
        <v>0</v>
      </c>
      <c r="O59" s="135">
        <v>0</v>
      </c>
      <c r="P59" s="134">
        <v>2.9300000000000001E-5</v>
      </c>
      <c r="Q59" s="135">
        <v>9.4025999999999997E-5</v>
      </c>
      <c r="R59" s="135">
        <v>1.0764900000000001E-4</v>
      </c>
      <c r="S59" s="135">
        <v>8.6919999999999988E-5</v>
      </c>
      <c r="T59" s="136">
        <v>8.4334999999999998E-5</v>
      </c>
      <c r="U59" s="135">
        <v>2.2255496E-2</v>
      </c>
      <c r="V59" s="135">
        <v>0.14893347400000001</v>
      </c>
      <c r="W59" s="135">
        <v>0.229617451</v>
      </c>
      <c r="X59" s="135">
        <v>0.29543002800000001</v>
      </c>
      <c r="Y59" s="136">
        <v>0.34701746700000002</v>
      </c>
    </row>
    <row r="60" spans="1:25">
      <c r="A60" s="125" t="s">
        <v>44</v>
      </c>
      <c r="B60" t="s">
        <v>75</v>
      </c>
      <c r="C60" s="186" t="s">
        <v>119</v>
      </c>
      <c r="D60" t="s">
        <v>191</v>
      </c>
      <c r="E60" t="s">
        <v>376</v>
      </c>
      <c r="F60" s="134">
        <v>1.1701107900000001E-3</v>
      </c>
      <c r="G60" s="135">
        <v>2.8760561999999997E-3</v>
      </c>
      <c r="H60" s="135">
        <v>6.5884759999999994E-3</v>
      </c>
      <c r="I60" s="135">
        <v>2.1722168E-2</v>
      </c>
      <c r="J60" s="136">
        <v>4.1870073000000001E-2</v>
      </c>
      <c r="K60" s="135">
        <v>0</v>
      </c>
      <c r="L60" s="135">
        <v>0</v>
      </c>
      <c r="M60" s="135">
        <v>0</v>
      </c>
      <c r="N60" s="135">
        <v>0</v>
      </c>
      <c r="O60" s="135">
        <v>0</v>
      </c>
      <c r="P60" s="134">
        <v>6.6530000000000002E-5</v>
      </c>
      <c r="Q60" s="135">
        <v>2.3863500000000001E-4</v>
      </c>
      <c r="R60" s="135">
        <v>2.8245000000000001E-4</v>
      </c>
      <c r="S60" s="135">
        <v>2.2821000000000004E-4</v>
      </c>
      <c r="T60" s="136">
        <v>2.1481500000000001E-4</v>
      </c>
      <c r="U60" s="135">
        <v>3.7173405999999999E-2</v>
      </c>
      <c r="V60" s="135">
        <v>0.24859055799999999</v>
      </c>
      <c r="W60" s="135">
        <v>0.38337975699999999</v>
      </c>
      <c r="X60" s="135">
        <v>0.49331577799999998</v>
      </c>
      <c r="Y60" s="136">
        <v>0.57972207799999997</v>
      </c>
    </row>
    <row r="61" spans="1:25">
      <c r="A61" s="125" t="s">
        <v>44</v>
      </c>
      <c r="B61" t="s">
        <v>75</v>
      </c>
      <c r="C61" s="186" t="s">
        <v>361</v>
      </c>
      <c r="D61" t="s">
        <v>359</v>
      </c>
      <c r="E61" t="s">
        <v>376</v>
      </c>
      <c r="F61" s="134">
        <v>0.21098548900000003</v>
      </c>
      <c r="G61" s="135">
        <v>0.54614876355600006</v>
      </c>
      <c r="H61" s="135">
        <v>0.77471961817000001</v>
      </c>
      <c r="I61" s="135">
        <v>1.1954523368000003</v>
      </c>
      <c r="J61" s="136">
        <v>1.3774261602000002</v>
      </c>
      <c r="K61" s="135">
        <v>0</v>
      </c>
      <c r="L61" s="135">
        <v>0</v>
      </c>
      <c r="M61" s="135">
        <v>0</v>
      </c>
      <c r="N61" s="135">
        <v>0</v>
      </c>
      <c r="O61" s="135">
        <v>0</v>
      </c>
      <c r="P61" s="134">
        <v>2.2639900000000001E-4</v>
      </c>
      <c r="Q61" s="135">
        <v>3.71147E-4</v>
      </c>
      <c r="R61" s="135">
        <v>3.71147E-4</v>
      </c>
      <c r="S61" s="135">
        <v>4.5637299999999999E-4</v>
      </c>
      <c r="T61" s="136">
        <v>5.1041499999999996E-4</v>
      </c>
      <c r="U61" s="135">
        <v>2.0541729000000002E-2</v>
      </c>
      <c r="V61" s="135">
        <v>0.111294272</v>
      </c>
      <c r="W61" s="135">
        <v>0.160334004</v>
      </c>
      <c r="X61" s="135">
        <v>0.20062708800000001</v>
      </c>
      <c r="Y61" s="136">
        <v>0.23357583700000001</v>
      </c>
    </row>
    <row r="62" spans="1:25">
      <c r="A62" s="125" t="s">
        <v>44</v>
      </c>
      <c r="B62" t="s">
        <v>75</v>
      </c>
      <c r="C62" s="186" t="s">
        <v>236</v>
      </c>
      <c r="D62" t="s">
        <v>234</v>
      </c>
      <c r="E62" t="s">
        <v>376</v>
      </c>
      <c r="F62" s="134">
        <v>0.14809708039999997</v>
      </c>
      <c r="G62" s="135">
        <v>0.36302302679999998</v>
      </c>
      <c r="H62" s="135">
        <v>0.48162398599999995</v>
      </c>
      <c r="I62" s="135">
        <v>0.77585703900000003</v>
      </c>
      <c r="J62" s="136">
        <v>0.92606003699999995</v>
      </c>
      <c r="K62" s="135">
        <v>0</v>
      </c>
      <c r="L62" s="135">
        <v>0</v>
      </c>
      <c r="M62" s="135">
        <v>0</v>
      </c>
      <c r="N62" s="135">
        <v>0</v>
      </c>
      <c r="O62" s="135">
        <v>2.3239999999999998E-5</v>
      </c>
      <c r="P62" s="134">
        <v>0</v>
      </c>
      <c r="Q62" s="135">
        <v>0</v>
      </c>
      <c r="R62" s="135">
        <v>0</v>
      </c>
      <c r="S62" s="135">
        <v>0</v>
      </c>
      <c r="T62" s="136">
        <v>0</v>
      </c>
      <c r="U62" s="135">
        <v>3.5871690000000003E-3</v>
      </c>
      <c r="V62" s="135">
        <v>9.4022369999999991E-3</v>
      </c>
      <c r="W62" s="135">
        <v>8.3943420000000008E-3</v>
      </c>
      <c r="X62" s="135">
        <v>8.019778E-3</v>
      </c>
      <c r="Y62" s="136">
        <v>8.6778419999999998E-3</v>
      </c>
    </row>
    <row r="63" spans="1:25">
      <c r="A63" s="125" t="s">
        <v>44</v>
      </c>
      <c r="B63" t="s">
        <v>75</v>
      </c>
      <c r="C63" s="186" t="s">
        <v>236</v>
      </c>
      <c r="D63" t="s">
        <v>237</v>
      </c>
      <c r="E63" t="s">
        <v>376</v>
      </c>
      <c r="F63" s="134">
        <v>0.33869237820000003</v>
      </c>
      <c r="G63" s="135">
        <v>0.78382837599999999</v>
      </c>
      <c r="H63" s="135">
        <v>0.88399694800000017</v>
      </c>
      <c r="I63" s="135">
        <v>1.287626076</v>
      </c>
      <c r="J63" s="136">
        <v>1.5806623739999999</v>
      </c>
      <c r="K63" s="135">
        <v>0</v>
      </c>
      <c r="L63" s="135">
        <v>0</v>
      </c>
      <c r="M63" s="135">
        <v>0</v>
      </c>
      <c r="N63" s="135">
        <v>0</v>
      </c>
      <c r="O63" s="135">
        <v>2.1880000000000001E-5</v>
      </c>
      <c r="P63" s="134">
        <v>0</v>
      </c>
      <c r="Q63" s="135">
        <v>0</v>
      </c>
      <c r="R63" s="135">
        <v>0</v>
      </c>
      <c r="S63" s="135">
        <v>0</v>
      </c>
      <c r="T63" s="136">
        <v>0</v>
      </c>
      <c r="U63" s="135">
        <v>8.1618879999999991E-3</v>
      </c>
      <c r="V63" s="135">
        <v>1.8359214999999998E-2</v>
      </c>
      <c r="W63" s="135">
        <v>1.3173541E-2</v>
      </c>
      <c r="X63" s="135">
        <v>1.0083298000000001E-2</v>
      </c>
      <c r="Y63" s="136">
        <v>1.0042855E-2</v>
      </c>
    </row>
    <row r="64" spans="1:25">
      <c r="A64" s="125" t="s">
        <v>44</v>
      </c>
      <c r="B64" t="s">
        <v>75</v>
      </c>
      <c r="C64" s="186" t="s">
        <v>236</v>
      </c>
      <c r="D64" t="s">
        <v>239</v>
      </c>
      <c r="E64" t="s">
        <v>376</v>
      </c>
      <c r="F64" s="134">
        <v>0.24793351169999997</v>
      </c>
      <c r="G64" s="135">
        <v>0.59406889899999993</v>
      </c>
      <c r="H64" s="135">
        <v>0.77578142600000011</v>
      </c>
      <c r="I64" s="135">
        <v>1.263995094</v>
      </c>
      <c r="J64" s="136">
        <v>1.5503608420000001</v>
      </c>
      <c r="K64" s="135">
        <v>0</v>
      </c>
      <c r="L64" s="135">
        <v>0</v>
      </c>
      <c r="M64" s="135">
        <v>0</v>
      </c>
      <c r="N64" s="135">
        <v>0</v>
      </c>
      <c r="O64" s="135">
        <v>2.9459999999999999E-5</v>
      </c>
      <c r="P64" s="134">
        <v>0</v>
      </c>
      <c r="Q64" s="135">
        <v>0</v>
      </c>
      <c r="R64" s="135">
        <v>0</v>
      </c>
      <c r="S64" s="135">
        <v>0</v>
      </c>
      <c r="T64" s="136">
        <v>0</v>
      </c>
      <c r="U64" s="135">
        <v>6.6032640000000002E-3</v>
      </c>
      <c r="V64" s="135">
        <v>1.4893441E-2</v>
      </c>
      <c r="W64" s="135">
        <v>1.0736853999999999E-2</v>
      </c>
      <c r="X64" s="135">
        <v>8.2672020000000013E-3</v>
      </c>
      <c r="Y64" s="136">
        <v>8.2558370000000002E-3</v>
      </c>
    </row>
    <row r="65" spans="1:25">
      <c r="A65" s="125" t="s">
        <v>44</v>
      </c>
      <c r="B65" t="s">
        <v>75</v>
      </c>
      <c r="C65" s="186" t="s">
        <v>243</v>
      </c>
      <c r="D65" t="s">
        <v>241</v>
      </c>
      <c r="E65" t="s">
        <v>376</v>
      </c>
      <c r="F65" s="134">
        <v>0.19391122</v>
      </c>
      <c r="G65" s="135">
        <v>0.56999654899999985</v>
      </c>
      <c r="H65" s="135">
        <v>0.86570705599999997</v>
      </c>
      <c r="I65" s="135">
        <v>1.36825653</v>
      </c>
      <c r="J65" s="136">
        <v>1.5795779420000002</v>
      </c>
      <c r="K65" s="135">
        <v>0</v>
      </c>
      <c r="L65" s="135">
        <v>0</v>
      </c>
      <c r="M65" s="135">
        <v>2.6068400000000001E-4</v>
      </c>
      <c r="N65" s="135">
        <v>2.6068400000000001E-4</v>
      </c>
      <c r="O65" s="135">
        <v>2.6068400000000001E-4</v>
      </c>
      <c r="P65" s="134">
        <v>0</v>
      </c>
      <c r="Q65" s="135">
        <v>6.2699999999999993E-5</v>
      </c>
      <c r="R65" s="135">
        <v>2.0510800000000002E-4</v>
      </c>
      <c r="S65" s="135">
        <v>3.1501000000000001E-4</v>
      </c>
      <c r="T65" s="136">
        <v>4.6068499999999996E-4</v>
      </c>
      <c r="U65" s="135">
        <v>2.3644536000000001E-2</v>
      </c>
      <c r="V65" s="135">
        <v>9.0266842999999999E-2</v>
      </c>
      <c r="W65" s="135">
        <v>0.110617865</v>
      </c>
      <c r="X65" s="135">
        <v>0.129051576</v>
      </c>
      <c r="Y65" s="136">
        <v>0.14776346100000001</v>
      </c>
    </row>
    <row r="66" spans="1:25">
      <c r="A66" s="125" t="s">
        <v>44</v>
      </c>
      <c r="B66" t="s">
        <v>75</v>
      </c>
      <c r="C66" s="186" t="s">
        <v>123</v>
      </c>
      <c r="D66" t="s">
        <v>244</v>
      </c>
      <c r="E66" t="s">
        <v>376</v>
      </c>
      <c r="F66" s="134">
        <v>0.60814744099999984</v>
      </c>
      <c r="G66" s="135">
        <v>1.6822130919999998</v>
      </c>
      <c r="H66" s="135">
        <v>2.6204151829999995</v>
      </c>
      <c r="I66" s="135">
        <v>4.3464321890000006</v>
      </c>
      <c r="J66" s="136">
        <v>5.0537396310000009</v>
      </c>
      <c r="K66" s="135">
        <v>0</v>
      </c>
      <c r="L66" s="135">
        <v>0</v>
      </c>
      <c r="M66" s="135">
        <v>0</v>
      </c>
      <c r="N66" s="135">
        <v>0</v>
      </c>
      <c r="O66" s="135">
        <v>0</v>
      </c>
      <c r="P66" s="134">
        <v>3.9843980000000001E-3</v>
      </c>
      <c r="Q66" s="135">
        <v>5.2957750000000008E-3</v>
      </c>
      <c r="R66" s="135">
        <v>6.5282669999999991E-3</v>
      </c>
      <c r="S66" s="135">
        <v>5.5440309999999996E-3</v>
      </c>
      <c r="T66" s="136">
        <v>6.5467629999999997E-3</v>
      </c>
      <c r="U66" s="135">
        <v>0.15884135499999999</v>
      </c>
      <c r="V66" s="135">
        <v>0.95740310799999995</v>
      </c>
      <c r="W66" s="135">
        <v>1.428004192</v>
      </c>
      <c r="X66" s="135">
        <v>1.8092611709999999</v>
      </c>
      <c r="Y66" s="136">
        <v>2.110758932</v>
      </c>
    </row>
    <row r="67" spans="1:25">
      <c r="A67" s="125" t="s">
        <v>44</v>
      </c>
      <c r="B67" t="s">
        <v>75</v>
      </c>
      <c r="C67" s="186" t="s">
        <v>123</v>
      </c>
      <c r="D67" t="s">
        <v>246</v>
      </c>
      <c r="E67" t="s">
        <v>376</v>
      </c>
      <c r="F67" s="134">
        <v>0.78913933199999997</v>
      </c>
      <c r="G67" s="135">
        <v>2.0709569929999998</v>
      </c>
      <c r="H67" s="135">
        <v>3.0473042819999994</v>
      </c>
      <c r="I67" s="135">
        <v>4.9422601889999997</v>
      </c>
      <c r="J67" s="136">
        <v>5.8827259220000006</v>
      </c>
      <c r="K67" s="135">
        <v>0</v>
      </c>
      <c r="L67" s="135">
        <v>0</v>
      </c>
      <c r="M67" s="135">
        <v>0</v>
      </c>
      <c r="N67" s="135">
        <v>0</v>
      </c>
      <c r="O67" s="135">
        <v>0</v>
      </c>
      <c r="P67" s="134">
        <v>9.0387900000000001E-4</v>
      </c>
      <c r="Q67" s="135">
        <v>1.2682139999999999E-3</v>
      </c>
      <c r="R67" s="135">
        <v>2.5658439999999999E-3</v>
      </c>
      <c r="S67" s="135">
        <v>2.4158230000000001E-3</v>
      </c>
      <c r="T67" s="136">
        <v>2.9770579999999999E-3</v>
      </c>
      <c r="U67" s="135">
        <v>7.3903868999999997E-2</v>
      </c>
      <c r="V67" s="135">
        <v>0.41915760699999999</v>
      </c>
      <c r="W67" s="135">
        <v>0.61452019299999994</v>
      </c>
      <c r="X67" s="135">
        <v>0.77543120600000004</v>
      </c>
      <c r="Y67" s="136">
        <v>0.90633862399999998</v>
      </c>
    </row>
    <row r="68" spans="1:25">
      <c r="A68" s="125" t="s">
        <v>44</v>
      </c>
      <c r="B68" t="s">
        <v>75</v>
      </c>
      <c r="C68" s="186" t="s">
        <v>123</v>
      </c>
      <c r="D68" t="s">
        <v>248</v>
      </c>
      <c r="E68" t="s">
        <v>376</v>
      </c>
      <c r="F68" s="134">
        <v>0.13539025999999998</v>
      </c>
      <c r="G68" s="135">
        <v>0.40385663399999994</v>
      </c>
      <c r="H68" s="135">
        <v>0.67216142099999987</v>
      </c>
      <c r="I68" s="135">
        <v>1.1343756459999998</v>
      </c>
      <c r="J68" s="136">
        <v>1.258148195</v>
      </c>
      <c r="K68" s="135">
        <v>0</v>
      </c>
      <c r="L68" s="135">
        <v>0</v>
      </c>
      <c r="M68" s="135">
        <v>0</v>
      </c>
      <c r="N68" s="135">
        <v>0</v>
      </c>
      <c r="O68" s="135">
        <v>0</v>
      </c>
      <c r="P68" s="134">
        <v>7.6062599999999992E-4</v>
      </c>
      <c r="Q68" s="135">
        <v>1.104746E-3</v>
      </c>
      <c r="R68" s="135">
        <v>1.3676109999999999E-3</v>
      </c>
      <c r="S68" s="135">
        <v>1.157216E-3</v>
      </c>
      <c r="T68" s="136">
        <v>1.634801E-3</v>
      </c>
      <c r="U68" s="135">
        <v>7.4007319000000002E-2</v>
      </c>
      <c r="V68" s="135">
        <v>0.46045086000000002</v>
      </c>
      <c r="W68" s="135">
        <v>0.694944648</v>
      </c>
      <c r="X68" s="135">
        <v>0.88613109499999998</v>
      </c>
      <c r="Y68" s="136">
        <v>1.0378025630000001</v>
      </c>
    </row>
    <row r="69" spans="1:25">
      <c r="A69" s="125" t="s">
        <v>44</v>
      </c>
      <c r="B69" t="s">
        <v>75</v>
      </c>
      <c r="C69" s="186" t="s">
        <v>123</v>
      </c>
      <c r="D69" t="s">
        <v>250</v>
      </c>
      <c r="E69" t="s">
        <v>376</v>
      </c>
      <c r="F69" s="134">
        <v>0.47911007999999999</v>
      </c>
      <c r="G69" s="135">
        <v>1.3644595500000001</v>
      </c>
      <c r="H69" s="135">
        <v>2.1649725050000002</v>
      </c>
      <c r="I69" s="135">
        <v>3.5947911479999997</v>
      </c>
      <c r="J69" s="136">
        <v>4.0601300890000003</v>
      </c>
      <c r="K69" s="135">
        <v>0</v>
      </c>
      <c r="L69" s="135">
        <v>0</v>
      </c>
      <c r="M69" s="135">
        <v>0</v>
      </c>
      <c r="N69" s="135">
        <v>0</v>
      </c>
      <c r="O69" s="135">
        <v>0</v>
      </c>
      <c r="P69" s="134">
        <v>1.8054619999999999E-3</v>
      </c>
      <c r="Q69" s="135">
        <v>2.5094309999999995E-3</v>
      </c>
      <c r="R69" s="135">
        <v>4.7798519999999994E-3</v>
      </c>
      <c r="S69" s="135">
        <v>4.444094E-3</v>
      </c>
      <c r="T69" s="136">
        <v>5.0667000000000004E-3</v>
      </c>
      <c r="U69" s="135">
        <v>8.9583472999999997E-2</v>
      </c>
      <c r="V69" s="135">
        <v>0.51592945300000004</v>
      </c>
      <c r="W69" s="135">
        <v>0.75869318299999999</v>
      </c>
      <c r="X69" s="135">
        <v>0.95653976099999993</v>
      </c>
      <c r="Y69" s="136">
        <v>1.1151586229999999</v>
      </c>
    </row>
    <row r="70" spans="1:25">
      <c r="A70" s="125" t="s">
        <v>44</v>
      </c>
      <c r="B70" t="s">
        <v>75</v>
      </c>
      <c r="C70" s="186" t="s">
        <v>123</v>
      </c>
      <c r="D70" t="s">
        <v>252</v>
      </c>
      <c r="E70" t="s">
        <v>376</v>
      </c>
      <c r="F70" s="134">
        <v>0.33876017999999997</v>
      </c>
      <c r="G70" s="135">
        <v>0.97600486400000008</v>
      </c>
      <c r="H70" s="135">
        <v>1.5970112279999999</v>
      </c>
      <c r="I70" s="135">
        <v>2.6844214570000009</v>
      </c>
      <c r="J70" s="136">
        <v>3.0663707479999998</v>
      </c>
      <c r="K70" s="135">
        <v>0</v>
      </c>
      <c r="L70" s="135">
        <v>0</v>
      </c>
      <c r="M70" s="135">
        <v>0</v>
      </c>
      <c r="N70" s="135">
        <v>0</v>
      </c>
      <c r="O70" s="135">
        <v>0</v>
      </c>
      <c r="P70" s="134">
        <v>1.6262709999999999E-3</v>
      </c>
      <c r="Q70" s="135">
        <v>2.2056799999999998E-3</v>
      </c>
      <c r="R70" s="135">
        <v>3.5437489999999997E-3</v>
      </c>
      <c r="S70" s="135">
        <v>3.1943969999999999E-3</v>
      </c>
      <c r="T70" s="136">
        <v>3.7237220000000005E-3</v>
      </c>
      <c r="U70" s="135">
        <v>0.15472562500000001</v>
      </c>
      <c r="V70" s="135">
        <v>0.97245006200000006</v>
      </c>
      <c r="W70" s="135">
        <v>1.4689079899999999</v>
      </c>
      <c r="X70" s="135">
        <v>1.8695587919999999</v>
      </c>
      <c r="Y70" s="136">
        <v>2.183286861</v>
      </c>
    </row>
    <row r="71" spans="1:25">
      <c r="A71" s="125" t="s">
        <v>44</v>
      </c>
      <c r="B71" t="s">
        <v>75</v>
      </c>
      <c r="C71" s="186" t="s">
        <v>259</v>
      </c>
      <c r="D71" t="s">
        <v>257</v>
      </c>
      <c r="E71" t="s">
        <v>376</v>
      </c>
      <c r="F71" s="134">
        <v>9.6578882000000005E-2</v>
      </c>
      <c r="G71" s="135">
        <v>0.3039945</v>
      </c>
      <c r="H71" s="135">
        <v>0.39327125699999999</v>
      </c>
      <c r="I71" s="135">
        <v>0.739611456</v>
      </c>
      <c r="J71" s="136">
        <v>0.87699467399999997</v>
      </c>
      <c r="K71" s="135">
        <v>0</v>
      </c>
      <c r="L71" s="135">
        <v>0</v>
      </c>
      <c r="M71" s="135">
        <v>0</v>
      </c>
      <c r="N71" s="135">
        <v>0</v>
      </c>
      <c r="O71" s="135">
        <v>0</v>
      </c>
      <c r="P71" s="134">
        <v>0</v>
      </c>
      <c r="Q71" s="135">
        <v>0</v>
      </c>
      <c r="R71" s="135">
        <v>0</v>
      </c>
      <c r="S71" s="135">
        <v>0</v>
      </c>
      <c r="T71" s="136">
        <v>0</v>
      </c>
      <c r="U71" s="135">
        <v>3.9400609999999996E-2</v>
      </c>
      <c r="V71" s="135">
        <v>0.23118923600000002</v>
      </c>
      <c r="W71" s="135">
        <v>0.34215368499999999</v>
      </c>
      <c r="X71" s="135">
        <v>0.43252480400000004</v>
      </c>
      <c r="Y71" s="136">
        <v>0.50472011900000002</v>
      </c>
    </row>
    <row r="72" spans="1:25">
      <c r="A72" s="125" t="s">
        <v>44</v>
      </c>
      <c r="B72" t="s">
        <v>75</v>
      </c>
      <c r="C72" s="186" t="s">
        <v>261</v>
      </c>
      <c r="D72" t="s">
        <v>260</v>
      </c>
      <c r="E72" t="s">
        <v>376</v>
      </c>
      <c r="F72" s="134">
        <v>7.0379729999999988E-2</v>
      </c>
      <c r="G72" s="135">
        <v>0.176784367</v>
      </c>
      <c r="H72" s="135">
        <v>0.26354312499999999</v>
      </c>
      <c r="I72" s="135">
        <v>0.57337069100000004</v>
      </c>
      <c r="J72" s="136">
        <v>0.73043578200000014</v>
      </c>
      <c r="K72" s="135">
        <v>0</v>
      </c>
      <c r="L72" s="135">
        <v>0</v>
      </c>
      <c r="M72" s="135">
        <v>0</v>
      </c>
      <c r="N72" s="135">
        <v>0</v>
      </c>
      <c r="O72" s="135">
        <v>0</v>
      </c>
      <c r="P72" s="134">
        <v>0</v>
      </c>
      <c r="Q72" s="135">
        <v>0</v>
      </c>
      <c r="R72" s="135">
        <v>0</v>
      </c>
      <c r="S72" s="135">
        <v>0</v>
      </c>
      <c r="T72" s="136">
        <v>0</v>
      </c>
      <c r="U72" s="135">
        <v>1.0093375E-2</v>
      </c>
      <c r="V72" s="135">
        <v>2.3502969000000002E-2</v>
      </c>
      <c r="W72" s="135">
        <v>1.7852323999999999E-2</v>
      </c>
      <c r="X72" s="135">
        <v>1.4620760999999999E-2</v>
      </c>
      <c r="Y72" s="136">
        <v>1.4976410999999999E-2</v>
      </c>
    </row>
    <row r="73" spans="1:25">
      <c r="A73" s="125" t="s">
        <v>44</v>
      </c>
      <c r="B73" t="s">
        <v>75</v>
      </c>
      <c r="C73" s="186" t="s">
        <v>256</v>
      </c>
      <c r="D73" t="s">
        <v>254</v>
      </c>
      <c r="E73" t="s">
        <v>376</v>
      </c>
      <c r="F73" s="134">
        <v>0.10831049449999999</v>
      </c>
      <c r="G73" s="135">
        <v>0.32186059199999995</v>
      </c>
      <c r="H73" s="135">
        <v>0.49709232200000003</v>
      </c>
      <c r="I73" s="135">
        <v>0.97960381499999993</v>
      </c>
      <c r="J73" s="136">
        <v>1.234017996</v>
      </c>
      <c r="K73" s="135">
        <v>0</v>
      </c>
      <c r="L73" s="135">
        <v>0</v>
      </c>
      <c r="M73" s="135">
        <v>0</v>
      </c>
      <c r="N73" s="135">
        <v>0</v>
      </c>
      <c r="O73" s="135">
        <v>0</v>
      </c>
      <c r="P73" s="134">
        <v>0</v>
      </c>
      <c r="Q73" s="135">
        <v>0</v>
      </c>
      <c r="R73" s="135">
        <v>0</v>
      </c>
      <c r="S73" s="135">
        <v>0</v>
      </c>
      <c r="T73" s="136">
        <v>0</v>
      </c>
      <c r="U73" s="135">
        <v>5.24E-5</v>
      </c>
      <c r="V73" s="135">
        <v>3.50293E-4</v>
      </c>
      <c r="W73" s="135">
        <v>5.3873500000000004E-4</v>
      </c>
      <c r="X73" s="135">
        <v>6.9056100000000002E-4</v>
      </c>
      <c r="Y73" s="136">
        <v>8.0832799999999998E-4</v>
      </c>
    </row>
    <row r="74" spans="1:25">
      <c r="A74" s="125" t="s">
        <v>44</v>
      </c>
      <c r="B74" t="s">
        <v>75</v>
      </c>
      <c r="C74" s="186" t="s">
        <v>263</v>
      </c>
      <c r="D74" t="s">
        <v>262</v>
      </c>
      <c r="E74" t="s">
        <v>376</v>
      </c>
      <c r="F74" s="134">
        <v>1.05021E-4</v>
      </c>
      <c r="G74" s="135">
        <v>4.02416E-4</v>
      </c>
      <c r="H74" s="135">
        <v>1.386328E-3</v>
      </c>
      <c r="I74" s="135">
        <v>1.505068E-2</v>
      </c>
      <c r="J74" s="136">
        <v>2.7416305000000002E-2</v>
      </c>
      <c r="K74" s="135">
        <v>4.1701939999999997E-5</v>
      </c>
      <c r="L74" s="135">
        <v>7.7903889999999997E-5</v>
      </c>
      <c r="M74" s="135">
        <v>1.0632428E-4</v>
      </c>
      <c r="N74" s="135">
        <v>1.0632428E-4</v>
      </c>
      <c r="O74" s="135">
        <v>6.4703059999999998E-5</v>
      </c>
      <c r="P74" s="134">
        <v>0</v>
      </c>
      <c r="Q74" s="135">
        <v>1.0776199999999999E-4</v>
      </c>
      <c r="R74" s="135">
        <v>1.2564E-4</v>
      </c>
      <c r="S74" s="135">
        <v>1.4553999999999999E-4</v>
      </c>
      <c r="T74" s="136">
        <v>1.6478599999999999E-4</v>
      </c>
      <c r="U74" s="135">
        <v>3.29E-5</v>
      </c>
      <c r="V74" s="135">
        <v>2.1997999999999999E-4</v>
      </c>
      <c r="W74" s="135">
        <v>3.3831900000000001E-4</v>
      </c>
      <c r="X74" s="135">
        <v>4.33664E-4</v>
      </c>
      <c r="Y74" s="136">
        <v>5.0761999999999997E-4</v>
      </c>
    </row>
    <row r="75" spans="1:25">
      <c r="A75" s="125" t="s">
        <v>44</v>
      </c>
      <c r="B75" t="s">
        <v>75</v>
      </c>
      <c r="C75" s="186" t="s">
        <v>125</v>
      </c>
      <c r="D75" t="s">
        <v>264</v>
      </c>
      <c r="E75" t="s">
        <v>376</v>
      </c>
      <c r="F75" s="134">
        <v>1.0836437800000001E-2</v>
      </c>
      <c r="G75" s="135">
        <v>2.5450478999999998E-2</v>
      </c>
      <c r="H75" s="135">
        <v>5.6722715899999991E-2</v>
      </c>
      <c r="I75" s="135">
        <v>0.12949226189999999</v>
      </c>
      <c r="J75" s="136">
        <v>0.2135103153</v>
      </c>
      <c r="K75" s="135">
        <v>0</v>
      </c>
      <c r="L75" s="135">
        <v>0</v>
      </c>
      <c r="M75" s="135">
        <v>7.4799999999999995E-6</v>
      </c>
      <c r="N75" s="135">
        <v>2.1329999999999997E-5</v>
      </c>
      <c r="O75" s="135">
        <v>2.9189999999999997E-5</v>
      </c>
      <c r="P75" s="134">
        <v>0</v>
      </c>
      <c r="Q75" s="135">
        <v>7.9000000000000006E-6</v>
      </c>
      <c r="R75" s="135">
        <v>6.7630000000000001E-5</v>
      </c>
      <c r="S75" s="135">
        <v>6.3864999999999999E-5</v>
      </c>
      <c r="T75" s="136">
        <v>6.0350000000000003E-5</v>
      </c>
      <c r="U75" s="135">
        <v>5.9207139999999997E-3</v>
      </c>
      <c r="V75" s="135">
        <v>1.3573271999999999E-2</v>
      </c>
      <c r="W75" s="135">
        <v>1.0055239000000001E-2</v>
      </c>
      <c r="X75" s="135">
        <v>8.002304E-3</v>
      </c>
      <c r="Y75" s="136">
        <v>8.1029970000000007E-3</v>
      </c>
    </row>
    <row r="76" spans="1:25">
      <c r="A76" s="125" t="s">
        <v>44</v>
      </c>
      <c r="B76" t="s">
        <v>75</v>
      </c>
      <c r="C76" s="186" t="s">
        <v>125</v>
      </c>
      <c r="D76" t="s">
        <v>266</v>
      </c>
      <c r="E76" t="s">
        <v>376</v>
      </c>
      <c r="F76" s="134">
        <v>4.5570647999999998E-2</v>
      </c>
      <c r="G76" s="135">
        <v>0.13398972999999997</v>
      </c>
      <c r="H76" s="135">
        <v>0.27202832220000006</v>
      </c>
      <c r="I76" s="135">
        <v>0.57074090810000011</v>
      </c>
      <c r="J76" s="136">
        <v>0.78996366390000006</v>
      </c>
      <c r="K76" s="135">
        <v>0</v>
      </c>
      <c r="L76" s="135">
        <v>1.876E-5</v>
      </c>
      <c r="M76" s="135">
        <v>5.1929999999999999E-5</v>
      </c>
      <c r="N76" s="135">
        <v>5.5089999999999996E-5</v>
      </c>
      <c r="O76" s="135">
        <v>5.6849999999999999E-5</v>
      </c>
      <c r="P76" s="134">
        <v>0</v>
      </c>
      <c r="Q76" s="135">
        <v>2.3459999999999999E-5</v>
      </c>
      <c r="R76" s="135">
        <v>2.0330500000000001E-4</v>
      </c>
      <c r="S76" s="135">
        <v>1.9440800000000003E-4</v>
      </c>
      <c r="T76" s="136">
        <v>1.85914E-4</v>
      </c>
      <c r="U76" s="135">
        <v>8.2890470000000008E-3</v>
      </c>
      <c r="V76" s="135">
        <v>1.8630580000000001E-2</v>
      </c>
      <c r="W76" s="135">
        <v>1.3350041E-2</v>
      </c>
      <c r="X76" s="135">
        <v>1.0200657E-2</v>
      </c>
      <c r="Y76" s="136">
        <v>1.0152049999999999E-2</v>
      </c>
    </row>
    <row r="77" spans="1:25">
      <c r="A77" s="125" t="s">
        <v>44</v>
      </c>
      <c r="B77" t="s">
        <v>75</v>
      </c>
      <c r="C77" s="186" t="s">
        <v>125</v>
      </c>
      <c r="D77" t="s">
        <v>268</v>
      </c>
      <c r="E77" t="s">
        <v>376</v>
      </c>
      <c r="F77" s="134">
        <v>0.84673573990000017</v>
      </c>
      <c r="G77" s="135">
        <v>2.1392907922000002</v>
      </c>
      <c r="H77" s="135">
        <v>2.7262844457000002</v>
      </c>
      <c r="I77" s="135">
        <v>3.9109322819000001</v>
      </c>
      <c r="J77" s="136">
        <v>4.0448315785600002</v>
      </c>
      <c r="K77" s="135">
        <v>0</v>
      </c>
      <c r="L77" s="135">
        <v>5.7396500000000007E-4</v>
      </c>
      <c r="M77" s="135">
        <v>1.088236E-3</v>
      </c>
      <c r="N77" s="135">
        <v>1.072635E-3</v>
      </c>
      <c r="O77" s="135">
        <v>1.0637839999999999E-3</v>
      </c>
      <c r="P77" s="134">
        <v>0</v>
      </c>
      <c r="Q77" s="135">
        <v>9.1399999999999999E-5</v>
      </c>
      <c r="R77" s="135">
        <v>1.1841450000000002E-3</v>
      </c>
      <c r="S77" s="135">
        <v>1.1373619999999998E-3</v>
      </c>
      <c r="T77" s="136">
        <v>1.0923880000000001E-3</v>
      </c>
      <c r="U77" s="135">
        <v>3.6827783000000003E-2</v>
      </c>
      <c r="V77" s="135">
        <v>0.19377926099999998</v>
      </c>
      <c r="W77" s="135">
        <v>0.27609709399999999</v>
      </c>
      <c r="X77" s="135">
        <v>0.34389092399999999</v>
      </c>
      <c r="Y77" s="136">
        <v>0.39979731400000001</v>
      </c>
    </row>
    <row r="78" spans="1:25">
      <c r="A78" s="125" t="s">
        <v>44</v>
      </c>
      <c r="B78" t="s">
        <v>75</v>
      </c>
      <c r="C78" s="186" t="s">
        <v>125</v>
      </c>
      <c r="D78" t="s">
        <v>270</v>
      </c>
      <c r="E78" t="s">
        <v>376</v>
      </c>
      <c r="F78" s="134">
        <v>0.13412619100000001</v>
      </c>
      <c r="G78" s="135">
        <v>0.45575859000000002</v>
      </c>
      <c r="H78" s="135">
        <v>0.87120815899999993</v>
      </c>
      <c r="I78" s="135">
        <v>1.705053828</v>
      </c>
      <c r="J78" s="136">
        <v>1.9407167231000002</v>
      </c>
      <c r="K78" s="135">
        <v>0</v>
      </c>
      <c r="L78" s="135">
        <v>2.3560000000000001E-5</v>
      </c>
      <c r="M78" s="135">
        <v>6.224E-5</v>
      </c>
      <c r="N78" s="135">
        <v>6.0829999999999999E-5</v>
      </c>
      <c r="O78" s="135">
        <v>6.0019999999999998E-5</v>
      </c>
      <c r="P78" s="134">
        <v>0</v>
      </c>
      <c r="Q78" s="135">
        <v>2.7144999999999998E-5</v>
      </c>
      <c r="R78" s="135">
        <v>2.4150800000000001E-4</v>
      </c>
      <c r="S78" s="135">
        <v>2.3043700000000003E-4</v>
      </c>
      <c r="T78" s="136">
        <v>2.2002200000000003E-4</v>
      </c>
      <c r="U78" s="135">
        <v>1.1581495000000001E-2</v>
      </c>
      <c r="V78" s="135">
        <v>3.7162483999999996E-2</v>
      </c>
      <c r="W78" s="135">
        <v>4.0518204000000002E-2</v>
      </c>
      <c r="X78" s="135">
        <v>4.4535443999999993E-2</v>
      </c>
      <c r="Y78" s="136">
        <v>5.0363822000000003E-2</v>
      </c>
    </row>
    <row r="79" spans="1:25">
      <c r="A79" s="125" t="s">
        <v>44</v>
      </c>
      <c r="B79" t="s">
        <v>75</v>
      </c>
      <c r="C79" s="186" t="s">
        <v>129</v>
      </c>
      <c r="D79" t="s">
        <v>272</v>
      </c>
      <c r="E79" t="s">
        <v>376</v>
      </c>
      <c r="F79" s="134">
        <v>0.81076097599999997</v>
      </c>
      <c r="G79" s="135">
        <v>1.8897116860000001</v>
      </c>
      <c r="H79" s="135">
        <v>2.0771572700000003</v>
      </c>
      <c r="I79" s="135">
        <v>2.9071799309999995</v>
      </c>
      <c r="J79" s="136">
        <v>3.7815411709999998</v>
      </c>
      <c r="K79" s="135">
        <v>2.4394199999999998E-4</v>
      </c>
      <c r="L79" s="135">
        <v>2.4394199999999998E-4</v>
      </c>
      <c r="M79" s="135">
        <v>2.1472E-4</v>
      </c>
      <c r="N79" s="135">
        <v>1.77973E-4</v>
      </c>
      <c r="O79" s="135">
        <v>1.63141E-4</v>
      </c>
      <c r="P79" s="134">
        <v>0</v>
      </c>
      <c r="Q79" s="135">
        <v>0</v>
      </c>
      <c r="R79" s="135">
        <v>0</v>
      </c>
      <c r="S79" s="135">
        <v>0</v>
      </c>
      <c r="T79" s="136">
        <v>0</v>
      </c>
      <c r="U79" s="135">
        <v>2.4263654000000003E-2</v>
      </c>
      <c r="V79" s="135">
        <v>8.1352914999999998E-2</v>
      </c>
      <c r="W79" s="135">
        <v>9.1633249E-2</v>
      </c>
      <c r="X79" s="135">
        <v>0.102528813</v>
      </c>
      <c r="Y79" s="136">
        <v>0.11643963800000001</v>
      </c>
    </row>
    <row r="80" spans="1:25">
      <c r="A80" s="125" t="s">
        <v>44</v>
      </c>
      <c r="B80" t="s">
        <v>75</v>
      </c>
      <c r="C80" s="186" t="s">
        <v>129</v>
      </c>
      <c r="D80" t="s">
        <v>274</v>
      </c>
      <c r="E80" t="s">
        <v>376</v>
      </c>
      <c r="F80" s="134">
        <v>7.0910122000000006E-2</v>
      </c>
      <c r="G80" s="135">
        <v>0.16523675800000001</v>
      </c>
      <c r="H80" s="135">
        <v>0.34594852200000004</v>
      </c>
      <c r="I80" s="135">
        <v>0.82776160400000021</v>
      </c>
      <c r="J80" s="136">
        <v>1.3398687090000001</v>
      </c>
      <c r="K80" s="135">
        <v>3.0320500000000002E-4</v>
      </c>
      <c r="L80" s="135">
        <v>3.0320500000000002E-4</v>
      </c>
      <c r="M80" s="135">
        <v>2.80036E-4</v>
      </c>
      <c r="N80" s="135">
        <v>2.5078900000000001E-4</v>
      </c>
      <c r="O80" s="135">
        <v>2.3900899999999999E-4</v>
      </c>
      <c r="P80" s="134">
        <v>0</v>
      </c>
      <c r="Q80" s="135">
        <v>0</v>
      </c>
      <c r="R80" s="135">
        <v>0</v>
      </c>
      <c r="S80" s="135">
        <v>0</v>
      </c>
      <c r="T80" s="136">
        <v>0</v>
      </c>
      <c r="U80" s="135">
        <v>1.9531566E-2</v>
      </c>
      <c r="V80" s="135">
        <v>4.9857485E-2</v>
      </c>
      <c r="W80" s="135">
        <v>4.3134738999999998E-2</v>
      </c>
      <c r="X80" s="135">
        <v>4.0187801000000002E-2</v>
      </c>
      <c r="Y80" s="136">
        <v>4.3202888999999994E-2</v>
      </c>
    </row>
    <row r="81" spans="1:25">
      <c r="A81" s="125" t="s">
        <v>44</v>
      </c>
      <c r="B81" t="s">
        <v>75</v>
      </c>
      <c r="C81" s="186" t="s">
        <v>129</v>
      </c>
      <c r="D81" t="s">
        <v>276</v>
      </c>
      <c r="E81" t="s">
        <v>376</v>
      </c>
      <c r="F81" s="134">
        <v>7.938490899999999E-2</v>
      </c>
      <c r="G81" s="135">
        <v>0.21703103399999998</v>
      </c>
      <c r="H81" s="135">
        <v>0.41679919900000006</v>
      </c>
      <c r="I81" s="135">
        <v>0.85944836099999999</v>
      </c>
      <c r="J81" s="136">
        <v>1.3073989269999999</v>
      </c>
      <c r="K81" s="135">
        <v>0</v>
      </c>
      <c r="L81" s="135">
        <v>0</v>
      </c>
      <c r="M81" s="135">
        <v>3.3899999999999997E-5</v>
      </c>
      <c r="N81" s="135">
        <v>7.6599999999999992E-5</v>
      </c>
      <c r="O81" s="135">
        <v>9.3700000000000001E-5</v>
      </c>
      <c r="P81" s="134">
        <v>0</v>
      </c>
      <c r="Q81" s="135">
        <v>0</v>
      </c>
      <c r="R81" s="135">
        <v>0</v>
      </c>
      <c r="S81" s="135">
        <v>0</v>
      </c>
      <c r="T81" s="136">
        <v>0</v>
      </c>
      <c r="U81" s="135">
        <v>1.8942068000000003E-2</v>
      </c>
      <c r="V81" s="135">
        <v>4.9667503000000002E-2</v>
      </c>
      <c r="W81" s="135">
        <v>4.4433489999999999E-2</v>
      </c>
      <c r="X81" s="135">
        <v>4.2609647E-2</v>
      </c>
      <c r="Y81" s="136">
        <v>4.6288322E-2</v>
      </c>
    </row>
    <row r="82" spans="1:25">
      <c r="A82" s="125" t="s">
        <v>44</v>
      </c>
      <c r="B82" t="s">
        <v>75</v>
      </c>
      <c r="C82" s="186" t="s">
        <v>129</v>
      </c>
      <c r="D82" t="s">
        <v>278</v>
      </c>
      <c r="E82" t="s">
        <v>376</v>
      </c>
      <c r="F82" s="134">
        <v>9.4574923000000005E-2</v>
      </c>
      <c r="G82" s="135">
        <v>0.23117098699999999</v>
      </c>
      <c r="H82" s="135">
        <v>0.47055301699999996</v>
      </c>
      <c r="I82" s="135">
        <v>0.99175197900000001</v>
      </c>
      <c r="J82" s="136">
        <v>1.4810519769999999</v>
      </c>
      <c r="K82" s="135">
        <v>1.9920399999999997E-4</v>
      </c>
      <c r="L82" s="135">
        <v>1.9920399999999997E-4</v>
      </c>
      <c r="M82" s="135">
        <v>1.7650200000000001E-4</v>
      </c>
      <c r="N82" s="135">
        <v>1.4790700000000002E-4</v>
      </c>
      <c r="O82" s="135">
        <v>1.3640000000000001E-4</v>
      </c>
      <c r="P82" s="134">
        <v>0</v>
      </c>
      <c r="Q82" s="135">
        <v>0</v>
      </c>
      <c r="R82" s="135">
        <v>0</v>
      </c>
      <c r="S82" s="135">
        <v>0</v>
      </c>
      <c r="T82" s="136">
        <v>0</v>
      </c>
      <c r="U82" s="135">
        <v>1.5726573000000001E-2</v>
      </c>
      <c r="V82" s="135">
        <v>4.7838394999999999E-2</v>
      </c>
      <c r="W82" s="135">
        <v>4.9842855000000005E-2</v>
      </c>
      <c r="X82" s="135">
        <v>5.3301168000000003E-2</v>
      </c>
      <c r="Y82" s="136">
        <v>5.9830696000000003E-2</v>
      </c>
    </row>
    <row r="83" spans="1:25">
      <c r="A83" s="125" t="s">
        <v>44</v>
      </c>
      <c r="B83" t="s">
        <v>75</v>
      </c>
      <c r="C83" s="186" t="s">
        <v>129</v>
      </c>
      <c r="D83" t="s">
        <v>280</v>
      </c>
      <c r="E83" t="s">
        <v>376</v>
      </c>
      <c r="F83" s="134">
        <v>0.13099448</v>
      </c>
      <c r="G83" s="135">
        <v>0.38215519100000006</v>
      </c>
      <c r="H83" s="135">
        <v>0.68079484000000001</v>
      </c>
      <c r="I83" s="135">
        <v>1.298124778</v>
      </c>
      <c r="J83" s="136">
        <v>1.9380331040000001</v>
      </c>
      <c r="K83" s="135">
        <v>0</v>
      </c>
      <c r="L83" s="135">
        <v>0</v>
      </c>
      <c r="M83" s="135">
        <v>2.459E-5</v>
      </c>
      <c r="N83" s="135">
        <v>5.5500000000000001E-5</v>
      </c>
      <c r="O83" s="135">
        <v>6.7909999999999992E-5</v>
      </c>
      <c r="P83" s="134">
        <v>0</v>
      </c>
      <c r="Q83" s="135">
        <v>0</v>
      </c>
      <c r="R83" s="135">
        <v>0</v>
      </c>
      <c r="S83" s="135">
        <v>0</v>
      </c>
      <c r="T83" s="136">
        <v>0</v>
      </c>
      <c r="U83" s="135">
        <v>1.2761112999999999E-2</v>
      </c>
      <c r="V83" s="135">
        <v>2.9153385E-2</v>
      </c>
      <c r="W83" s="135">
        <v>2.1467053999999999E-2</v>
      </c>
      <c r="X83" s="135">
        <v>1.6954779999999999E-2</v>
      </c>
      <c r="Y83" s="136">
        <v>1.7104273999999999E-2</v>
      </c>
    </row>
    <row r="84" spans="1:25">
      <c r="A84" s="125" t="s">
        <v>44</v>
      </c>
      <c r="B84" t="s">
        <v>75</v>
      </c>
      <c r="C84" s="186" t="s">
        <v>129</v>
      </c>
      <c r="D84" t="s">
        <v>282</v>
      </c>
      <c r="E84" t="s">
        <v>376</v>
      </c>
      <c r="F84" s="134">
        <v>5.4346644999999992E-2</v>
      </c>
      <c r="G84" s="135">
        <v>0.13110264300000002</v>
      </c>
      <c r="H84" s="135">
        <v>0.25500972900000002</v>
      </c>
      <c r="I84" s="135">
        <v>0.57439785599999993</v>
      </c>
      <c r="J84" s="136">
        <v>0.90987458999999993</v>
      </c>
      <c r="K84" s="135">
        <v>1.8996099999999999E-4</v>
      </c>
      <c r="L84" s="135">
        <v>1.8996099999999999E-4</v>
      </c>
      <c r="M84" s="135">
        <v>1.7464800000000001E-4</v>
      </c>
      <c r="N84" s="135">
        <v>1.5534199999999999E-4</v>
      </c>
      <c r="O84" s="135">
        <v>1.47572E-4</v>
      </c>
      <c r="P84" s="134">
        <v>0</v>
      </c>
      <c r="Q84" s="135">
        <v>0</v>
      </c>
      <c r="R84" s="135">
        <v>0</v>
      </c>
      <c r="S84" s="135">
        <v>0</v>
      </c>
      <c r="T84" s="136">
        <v>0</v>
      </c>
      <c r="U84" s="135">
        <v>8.9151540000000015E-3</v>
      </c>
      <c r="V84" s="135">
        <v>2.158819E-2</v>
      </c>
      <c r="W84" s="135">
        <v>1.7390906000000001E-2</v>
      </c>
      <c r="X84" s="135">
        <v>1.5154078E-2</v>
      </c>
      <c r="Y84" s="136">
        <v>1.5895439000000001E-2</v>
      </c>
    </row>
    <row r="85" spans="1:25">
      <c r="A85" s="125" t="s">
        <v>44</v>
      </c>
      <c r="B85" t="s">
        <v>75</v>
      </c>
      <c r="C85" s="186" t="s">
        <v>129</v>
      </c>
      <c r="D85" t="s">
        <v>284</v>
      </c>
      <c r="E85" t="s">
        <v>376</v>
      </c>
      <c r="F85" s="134">
        <v>7.1768127000000001E-2</v>
      </c>
      <c r="G85" s="135">
        <v>0.151826877</v>
      </c>
      <c r="H85" s="135">
        <v>0.27164713399999996</v>
      </c>
      <c r="I85" s="135">
        <v>0.57936264400000004</v>
      </c>
      <c r="J85" s="136">
        <v>0.86915882999999983</v>
      </c>
      <c r="K85" s="135">
        <v>0</v>
      </c>
      <c r="L85" s="135">
        <v>0</v>
      </c>
      <c r="M85" s="135">
        <v>3.1999999999999999E-5</v>
      </c>
      <c r="N85" s="135">
        <v>7.2199999999999993E-5</v>
      </c>
      <c r="O85" s="135">
        <v>8.8415E-5</v>
      </c>
      <c r="P85" s="134">
        <v>0</v>
      </c>
      <c r="Q85" s="135">
        <v>0</v>
      </c>
      <c r="R85" s="135">
        <v>0</v>
      </c>
      <c r="S85" s="135">
        <v>0</v>
      </c>
      <c r="T85" s="136">
        <v>0</v>
      </c>
      <c r="U85" s="135">
        <v>1.3692412000000001E-2</v>
      </c>
      <c r="V85" s="135">
        <v>7.4819141000000006E-2</v>
      </c>
      <c r="W85" s="135">
        <v>0.107751239</v>
      </c>
      <c r="X85" s="135">
        <v>0.134359487</v>
      </c>
      <c r="Y85" s="136">
        <v>0.155645964</v>
      </c>
    </row>
    <row r="86" spans="1:25">
      <c r="A86" s="125" t="s">
        <v>44</v>
      </c>
      <c r="B86" t="s">
        <v>75</v>
      </c>
      <c r="C86" s="186" t="s">
        <v>288</v>
      </c>
      <c r="D86" t="s">
        <v>286</v>
      </c>
      <c r="E86" t="s">
        <v>376</v>
      </c>
      <c r="F86" s="134">
        <v>0.62049479200000013</v>
      </c>
      <c r="G86" s="135">
        <v>1.7247972389999999</v>
      </c>
      <c r="H86" s="135">
        <v>2.6640921450000001</v>
      </c>
      <c r="I86" s="135">
        <v>4.173788611</v>
      </c>
      <c r="J86" s="136">
        <v>4.7290884199999992</v>
      </c>
      <c r="K86" s="135">
        <v>0</v>
      </c>
      <c r="L86" s="135">
        <v>0</v>
      </c>
      <c r="M86" s="135">
        <v>0</v>
      </c>
      <c r="N86" s="135">
        <v>7.4370000000000008E-5</v>
      </c>
      <c r="O86" s="135">
        <v>1.47942E-4</v>
      </c>
      <c r="P86" s="134">
        <v>0</v>
      </c>
      <c r="Q86" s="135">
        <v>5.8697199999999995E-4</v>
      </c>
      <c r="R86" s="135">
        <v>9.83259E-4</v>
      </c>
      <c r="S86" s="135">
        <v>1.2753719999999999E-3</v>
      </c>
      <c r="T86" s="136">
        <v>2.2323149999999999E-3</v>
      </c>
      <c r="U86" s="135">
        <v>8.4908709999999998E-2</v>
      </c>
      <c r="V86" s="135">
        <v>0.48625202499999998</v>
      </c>
      <c r="W86" s="135">
        <v>0.71395646099999999</v>
      </c>
      <c r="X86" s="135">
        <v>0.89984270899999996</v>
      </c>
      <c r="Y86" s="136">
        <v>1.0493008640000001</v>
      </c>
    </row>
    <row r="87" spans="1:25">
      <c r="A87" s="125" t="s">
        <v>44</v>
      </c>
      <c r="B87" t="s">
        <v>75</v>
      </c>
      <c r="C87" s="186" t="s">
        <v>288</v>
      </c>
      <c r="D87" t="s">
        <v>289</v>
      </c>
      <c r="E87" t="s">
        <v>376</v>
      </c>
      <c r="F87" s="134">
        <v>6.3416669999999997E-5</v>
      </c>
      <c r="G87" s="135">
        <v>1.3724332999999998E-4</v>
      </c>
      <c r="H87" s="135">
        <v>2.8287528E-4</v>
      </c>
      <c r="I87" s="135">
        <v>1.0940151999999999E-3</v>
      </c>
      <c r="J87" s="136">
        <v>2.5666059999999999E-3</v>
      </c>
      <c r="K87" s="135">
        <v>0</v>
      </c>
      <c r="L87" s="135">
        <v>0</v>
      </c>
      <c r="M87" s="135">
        <v>0</v>
      </c>
      <c r="N87" s="135">
        <v>0</v>
      </c>
      <c r="O87" s="135">
        <v>0</v>
      </c>
      <c r="P87" s="134">
        <v>0</v>
      </c>
      <c r="Q87" s="135">
        <v>3.1700000000000001E-6</v>
      </c>
      <c r="R87" s="135">
        <v>5.1258000000000001E-6</v>
      </c>
      <c r="S87" s="135">
        <v>2.0913399999999999E-5</v>
      </c>
      <c r="T87" s="136">
        <v>3.7231999999999999E-5</v>
      </c>
      <c r="U87" s="135">
        <v>3.62349E-3</v>
      </c>
      <c r="V87" s="135">
        <v>2.4221537000000001E-2</v>
      </c>
      <c r="W87" s="135">
        <v>3.7245871E-2</v>
      </c>
      <c r="X87" s="135">
        <v>4.7733112000000001E-2</v>
      </c>
      <c r="Y87" s="136">
        <v>5.5858893E-2</v>
      </c>
    </row>
    <row r="88" spans="1:25">
      <c r="A88" s="125" t="s">
        <v>44</v>
      </c>
      <c r="B88" t="s">
        <v>75</v>
      </c>
      <c r="C88" s="186" t="s">
        <v>288</v>
      </c>
      <c r="D88" t="s">
        <v>291</v>
      </c>
      <c r="E88" t="s">
        <v>376</v>
      </c>
      <c r="F88" s="134">
        <v>6.4385600000000002E-5</v>
      </c>
      <c r="G88" s="135">
        <v>1.1254749999999999E-4</v>
      </c>
      <c r="H88" s="135">
        <v>1.9741250000000001E-4</v>
      </c>
      <c r="I88" s="135">
        <v>6.9861039999999993E-4</v>
      </c>
      <c r="J88" s="136">
        <v>1.5162280000000001E-3</v>
      </c>
      <c r="K88" s="135">
        <v>0</v>
      </c>
      <c r="L88" s="135">
        <v>0</v>
      </c>
      <c r="M88" s="135">
        <v>0</v>
      </c>
      <c r="N88" s="135">
        <v>0</v>
      </c>
      <c r="O88" s="135">
        <v>0</v>
      </c>
      <c r="P88" s="134">
        <v>0</v>
      </c>
      <c r="Q88" s="135">
        <v>2.8950000000000002E-6</v>
      </c>
      <c r="R88" s="135">
        <v>5.1831999999999998E-6</v>
      </c>
      <c r="S88" s="135">
        <v>2.56038E-5</v>
      </c>
      <c r="T88" s="136">
        <v>4.5695999999999998E-5</v>
      </c>
      <c r="U88" s="135">
        <v>4.2601870000000003E-3</v>
      </c>
      <c r="V88" s="135">
        <v>2.8494273000000001E-2</v>
      </c>
      <c r="W88" s="135">
        <v>4.3845424000000001E-2</v>
      </c>
      <c r="X88" s="135">
        <v>5.6238512999999997E-2</v>
      </c>
      <c r="Y88" s="136">
        <v>6.5885920000000001E-2</v>
      </c>
    </row>
    <row r="89" spans="1:25">
      <c r="A89" s="125" t="s">
        <v>44</v>
      </c>
      <c r="B89" t="s">
        <v>75</v>
      </c>
      <c r="C89" s="186" t="s">
        <v>347</v>
      </c>
      <c r="D89" t="s">
        <v>345</v>
      </c>
      <c r="E89" t="s">
        <v>376</v>
      </c>
      <c r="F89" s="134">
        <v>0.19079304199999997</v>
      </c>
      <c r="G89" s="135">
        <v>0.50098551800000002</v>
      </c>
      <c r="H89" s="135">
        <v>0.7034296000000001</v>
      </c>
      <c r="I89" s="135">
        <v>1.1117448149999998</v>
      </c>
      <c r="J89" s="136">
        <v>1.2085244780000002</v>
      </c>
      <c r="K89" s="135">
        <v>0</v>
      </c>
      <c r="L89" s="135">
        <v>0</v>
      </c>
      <c r="M89" s="135">
        <v>0</v>
      </c>
      <c r="N89" s="135">
        <v>0</v>
      </c>
      <c r="O89" s="135">
        <v>0</v>
      </c>
      <c r="P89" s="134">
        <v>0</v>
      </c>
      <c r="Q89" s="135">
        <v>0</v>
      </c>
      <c r="R89" s="135">
        <v>0</v>
      </c>
      <c r="S89" s="135">
        <v>0</v>
      </c>
      <c r="T89" s="136">
        <v>0</v>
      </c>
      <c r="U89" s="135">
        <v>7.326857E-3</v>
      </c>
      <c r="V89" s="135">
        <v>2.2482771999999998E-2</v>
      </c>
      <c r="W89" s="135">
        <v>2.3588418E-2</v>
      </c>
      <c r="X89" s="135">
        <v>2.5311896E-2</v>
      </c>
      <c r="Y89" s="136">
        <v>2.8404663E-2</v>
      </c>
    </row>
    <row r="90" spans="1:25">
      <c r="A90" s="125" t="s">
        <v>44</v>
      </c>
      <c r="B90" t="s">
        <v>75</v>
      </c>
      <c r="C90" s="186" t="s">
        <v>347</v>
      </c>
      <c r="D90" t="s">
        <v>348</v>
      </c>
      <c r="E90" t="s">
        <v>376</v>
      </c>
      <c r="F90" s="134">
        <v>0.50992397399999989</v>
      </c>
      <c r="G90" s="135">
        <v>1.3228791870000003</v>
      </c>
      <c r="H90" s="135">
        <v>1.6340136019999998</v>
      </c>
      <c r="I90" s="135">
        <v>2.3210216099999998</v>
      </c>
      <c r="J90" s="136">
        <v>2.5603045559999997</v>
      </c>
      <c r="K90" s="135">
        <v>0</v>
      </c>
      <c r="L90" s="135">
        <v>0</v>
      </c>
      <c r="M90" s="135">
        <v>0</v>
      </c>
      <c r="N90" s="135">
        <v>0</v>
      </c>
      <c r="O90" s="135">
        <v>0</v>
      </c>
      <c r="P90" s="134">
        <v>0</v>
      </c>
      <c r="Q90" s="135">
        <v>0</v>
      </c>
      <c r="R90" s="135">
        <v>0</v>
      </c>
      <c r="S90" s="135">
        <v>0</v>
      </c>
      <c r="T90" s="136">
        <v>0</v>
      </c>
      <c r="U90" s="135">
        <v>2.9814380000000003E-3</v>
      </c>
      <c r="V90" s="135">
        <v>9.9575600000000007E-3</v>
      </c>
      <c r="W90" s="135">
        <v>1.1149847000000001E-2</v>
      </c>
      <c r="X90" s="135">
        <v>1.2392856000000001E-2</v>
      </c>
      <c r="Y90" s="136">
        <v>1.3987624000000001E-2</v>
      </c>
    </row>
    <row r="91" spans="1:25">
      <c r="A91" s="125" t="s">
        <v>44</v>
      </c>
      <c r="B91" t="s">
        <v>75</v>
      </c>
      <c r="C91" s="186" t="s">
        <v>347</v>
      </c>
      <c r="D91" t="s">
        <v>350</v>
      </c>
      <c r="E91" t="s">
        <v>376</v>
      </c>
      <c r="F91" s="134">
        <v>0.20750534699999998</v>
      </c>
      <c r="G91" s="135">
        <v>0.54806907799999993</v>
      </c>
      <c r="H91" s="135">
        <v>0.75616226200000003</v>
      </c>
      <c r="I91" s="135">
        <v>1.1753247410000001</v>
      </c>
      <c r="J91" s="136">
        <v>1.2589816939999998</v>
      </c>
      <c r="K91" s="135">
        <v>0</v>
      </c>
      <c r="L91" s="135">
        <v>0</v>
      </c>
      <c r="M91" s="135">
        <v>0</v>
      </c>
      <c r="N91" s="135">
        <v>0</v>
      </c>
      <c r="O91" s="135">
        <v>0</v>
      </c>
      <c r="P91" s="134">
        <v>0</v>
      </c>
      <c r="Q91" s="135">
        <v>0</v>
      </c>
      <c r="R91" s="135">
        <v>0</v>
      </c>
      <c r="S91" s="135">
        <v>0</v>
      </c>
      <c r="T91" s="136">
        <v>0</v>
      </c>
      <c r="U91" s="135">
        <v>1.5480532E-2</v>
      </c>
      <c r="V91" s="135">
        <v>5.7493071999999992E-2</v>
      </c>
      <c r="W91" s="135">
        <v>6.9240884000000003E-2</v>
      </c>
      <c r="X91" s="135">
        <v>8.0039470000000001E-2</v>
      </c>
      <c r="Y91" s="136">
        <v>9.1365498000000003E-2</v>
      </c>
    </row>
    <row r="92" spans="1:25">
      <c r="A92" s="125" t="s">
        <v>44</v>
      </c>
      <c r="B92" t="s">
        <v>75</v>
      </c>
      <c r="C92" s="186" t="s">
        <v>347</v>
      </c>
      <c r="D92" t="s">
        <v>352</v>
      </c>
      <c r="E92" t="s">
        <v>376</v>
      </c>
      <c r="F92" s="134">
        <v>2.8806443000000004E-2</v>
      </c>
      <c r="G92" s="135">
        <v>5.9251452999999996E-2</v>
      </c>
      <c r="H92" s="135">
        <v>0.105685081</v>
      </c>
      <c r="I92" s="135">
        <v>0.22422678999999998</v>
      </c>
      <c r="J92" s="136">
        <v>0.27364713099999999</v>
      </c>
      <c r="K92" s="135">
        <v>0</v>
      </c>
      <c r="L92" s="135">
        <v>0</v>
      </c>
      <c r="M92" s="135">
        <v>0</v>
      </c>
      <c r="N92" s="135">
        <v>0</v>
      </c>
      <c r="O92" s="135">
        <v>0</v>
      </c>
      <c r="P92" s="134">
        <v>0</v>
      </c>
      <c r="Q92" s="135">
        <v>0</v>
      </c>
      <c r="R92" s="135">
        <v>0</v>
      </c>
      <c r="S92" s="135">
        <v>0</v>
      </c>
      <c r="T92" s="136">
        <v>0</v>
      </c>
      <c r="U92" s="135">
        <v>7.1478849999999997E-3</v>
      </c>
      <c r="V92" s="135">
        <v>1.9376995000000001E-2</v>
      </c>
      <c r="W92" s="135">
        <v>1.8005818999999999E-2</v>
      </c>
      <c r="X92" s="135">
        <v>1.7783767999999998E-2</v>
      </c>
      <c r="Y92" s="136">
        <v>1.9492427999999999E-2</v>
      </c>
    </row>
    <row r="93" spans="1:25">
      <c r="A93" s="125" t="s">
        <v>44</v>
      </c>
      <c r="B93" t="s">
        <v>75</v>
      </c>
      <c r="C93" s="186" t="s">
        <v>131</v>
      </c>
      <c r="D93" t="s">
        <v>314</v>
      </c>
      <c r="E93" t="s">
        <v>376</v>
      </c>
      <c r="F93" s="134">
        <v>0.17084323900000001</v>
      </c>
      <c r="G93" s="135">
        <v>0.30492817799999999</v>
      </c>
      <c r="H93" s="135">
        <v>0.30915491700000003</v>
      </c>
      <c r="I93" s="135">
        <v>0.63368266299999998</v>
      </c>
      <c r="J93" s="136">
        <v>0.92002898200000005</v>
      </c>
      <c r="K93" s="135">
        <v>0</v>
      </c>
      <c r="L93" s="135">
        <v>0</v>
      </c>
      <c r="M93" s="135">
        <v>0</v>
      </c>
      <c r="N93" s="135">
        <v>0</v>
      </c>
      <c r="O93" s="135">
        <v>0</v>
      </c>
      <c r="P93" s="134">
        <v>0</v>
      </c>
      <c r="Q93" s="135">
        <v>8.9500000000000007E-5</v>
      </c>
      <c r="R93" s="135">
        <v>8.9999999999999992E-5</v>
      </c>
      <c r="S93" s="135">
        <v>9.0400000000000002E-5</v>
      </c>
      <c r="T93" s="136">
        <v>9.0699999999999996E-5</v>
      </c>
      <c r="U93" s="135">
        <v>0.29851144600000001</v>
      </c>
      <c r="V93" s="135">
        <v>1.970024963</v>
      </c>
      <c r="W93" s="135">
        <v>3.0195805249999998</v>
      </c>
      <c r="X93" s="135">
        <v>3.8661761220000002</v>
      </c>
      <c r="Y93" s="136">
        <v>4.524482152</v>
      </c>
    </row>
    <row r="94" spans="1:25">
      <c r="A94" s="125" t="s">
        <v>44</v>
      </c>
      <c r="B94" t="s">
        <v>75</v>
      </c>
      <c r="C94" s="186" t="s">
        <v>131</v>
      </c>
      <c r="D94" t="s">
        <v>316</v>
      </c>
      <c r="E94" t="s">
        <v>376</v>
      </c>
      <c r="F94" s="134">
        <v>0.233487217</v>
      </c>
      <c r="G94" s="135">
        <v>0.47352332700000005</v>
      </c>
      <c r="H94" s="135">
        <v>0.698689636</v>
      </c>
      <c r="I94" s="135">
        <v>1.195677804</v>
      </c>
      <c r="J94" s="136">
        <v>1.5669338260000001</v>
      </c>
      <c r="K94" s="135">
        <v>0</v>
      </c>
      <c r="L94" s="135">
        <v>0</v>
      </c>
      <c r="M94" s="135">
        <v>0</v>
      </c>
      <c r="N94" s="135">
        <v>0</v>
      </c>
      <c r="O94" s="135">
        <v>0</v>
      </c>
      <c r="P94" s="134">
        <v>0</v>
      </c>
      <c r="Q94" s="135">
        <v>7.6009999999999999E-5</v>
      </c>
      <c r="R94" s="135">
        <v>7.6130000000000005E-5</v>
      </c>
      <c r="S94" s="135">
        <v>7.6359999999999994E-5</v>
      </c>
      <c r="T94" s="136">
        <v>7.6500000000000003E-5</v>
      </c>
      <c r="U94" s="135">
        <v>0.105227454</v>
      </c>
      <c r="V94" s="135">
        <v>0.66934115399999994</v>
      </c>
      <c r="W94" s="135">
        <v>1.0145420949999999</v>
      </c>
      <c r="X94" s="135">
        <v>1.2932486919999999</v>
      </c>
      <c r="Y94" s="136">
        <v>1.511484407</v>
      </c>
    </row>
    <row r="95" spans="1:25">
      <c r="A95" s="125" t="s">
        <v>44</v>
      </c>
      <c r="B95" t="s">
        <v>75</v>
      </c>
      <c r="C95" s="186" t="s">
        <v>131</v>
      </c>
      <c r="D95" t="s">
        <v>318</v>
      </c>
      <c r="E95" t="s">
        <v>376</v>
      </c>
      <c r="F95" s="134">
        <v>0.320784762</v>
      </c>
      <c r="G95" s="135">
        <v>0.59448145699999988</v>
      </c>
      <c r="H95" s="135">
        <v>0.671257459</v>
      </c>
      <c r="I95" s="135">
        <v>1.2505391959999999</v>
      </c>
      <c r="J95" s="136">
        <v>1.7699379580000001</v>
      </c>
      <c r="K95" s="135">
        <v>0</v>
      </c>
      <c r="L95" s="135">
        <v>0</v>
      </c>
      <c r="M95" s="135">
        <v>0</v>
      </c>
      <c r="N95" s="135">
        <v>0</v>
      </c>
      <c r="O95" s="135">
        <v>0</v>
      </c>
      <c r="P95" s="134">
        <v>0</v>
      </c>
      <c r="Q95" s="135">
        <v>3.6510000000000001E-5</v>
      </c>
      <c r="R95" s="135">
        <v>3.5840000000000002E-5</v>
      </c>
      <c r="S95" s="135">
        <v>3.5310000000000006E-5</v>
      </c>
      <c r="T95" s="136">
        <v>3.4910000000000003E-5</v>
      </c>
      <c r="U95" s="135">
        <v>3.2655909999999996E-2</v>
      </c>
      <c r="V95" s="135">
        <v>0.21563763399999999</v>
      </c>
      <c r="W95" s="135">
        <v>0.33073982500000004</v>
      </c>
      <c r="X95" s="135">
        <v>0.42379547000000001</v>
      </c>
      <c r="Y95" s="136">
        <v>0.49636381300000004</v>
      </c>
    </row>
    <row r="96" spans="1:25">
      <c r="A96" s="125" t="s">
        <v>44</v>
      </c>
      <c r="B96" t="s">
        <v>75</v>
      </c>
      <c r="C96" s="186" t="s">
        <v>298</v>
      </c>
      <c r="D96" t="s">
        <v>296</v>
      </c>
      <c r="E96" t="s">
        <v>376</v>
      </c>
      <c r="F96" s="134">
        <v>0.303055291</v>
      </c>
      <c r="G96" s="135">
        <v>0.86330465599999995</v>
      </c>
      <c r="H96" s="135">
        <v>1.3805520629999997</v>
      </c>
      <c r="I96" s="135">
        <v>1.9680773519999997</v>
      </c>
      <c r="J96" s="136">
        <v>2.2067504759999998</v>
      </c>
      <c r="K96" s="135">
        <v>0</v>
      </c>
      <c r="L96" s="135">
        <v>0</v>
      </c>
      <c r="M96" s="135">
        <v>0</v>
      </c>
      <c r="N96" s="135">
        <v>0</v>
      </c>
      <c r="O96" s="135">
        <v>0</v>
      </c>
      <c r="P96" s="134">
        <v>0</v>
      </c>
      <c r="Q96" s="135">
        <v>2.7190000000000002E-5</v>
      </c>
      <c r="R96" s="135">
        <v>2.7190000000000002E-5</v>
      </c>
      <c r="S96" s="135">
        <v>2.7190000000000002E-5</v>
      </c>
      <c r="T96" s="136">
        <v>2.7190000000000002E-5</v>
      </c>
      <c r="U96" s="135">
        <v>1.5046760999999999E-2</v>
      </c>
      <c r="V96" s="135">
        <v>7.2639746000000005E-2</v>
      </c>
      <c r="W96" s="135">
        <v>0.10008721200000001</v>
      </c>
      <c r="X96" s="135">
        <v>0.123041214</v>
      </c>
      <c r="Y96" s="136">
        <v>0.14266542300000001</v>
      </c>
    </row>
    <row r="97" spans="1:25">
      <c r="A97" s="125" t="s">
        <v>44</v>
      </c>
      <c r="B97" t="s">
        <v>75</v>
      </c>
      <c r="C97" s="186" t="s">
        <v>295</v>
      </c>
      <c r="D97" t="s">
        <v>293</v>
      </c>
      <c r="E97" t="s">
        <v>376</v>
      </c>
      <c r="F97" s="134">
        <v>1.0194941900000001</v>
      </c>
      <c r="G97" s="135">
        <v>2.4764896159999994</v>
      </c>
      <c r="H97" s="135">
        <v>2.9571215249999998</v>
      </c>
      <c r="I97" s="135">
        <v>4.5859685960000007</v>
      </c>
      <c r="J97" s="136">
        <v>5.6546874699999998</v>
      </c>
      <c r="K97" s="135">
        <v>0</v>
      </c>
      <c r="L97" s="135">
        <v>0</v>
      </c>
      <c r="M97" s="135">
        <v>0</v>
      </c>
      <c r="N97" s="135">
        <v>0</v>
      </c>
      <c r="O97" s="135">
        <v>0</v>
      </c>
      <c r="P97" s="134">
        <v>0</v>
      </c>
      <c r="Q97" s="135">
        <v>0</v>
      </c>
      <c r="R97" s="135">
        <v>0</v>
      </c>
      <c r="S97" s="135">
        <v>0</v>
      </c>
      <c r="T97" s="136">
        <v>0</v>
      </c>
      <c r="U97" s="135">
        <v>2.5470942999999999E-2</v>
      </c>
      <c r="V97" s="135">
        <v>0.12757006199999998</v>
      </c>
      <c r="W97" s="135">
        <v>0.17842717999999999</v>
      </c>
      <c r="X97" s="135">
        <v>0.220685559</v>
      </c>
      <c r="Y97" s="136">
        <v>0.256244272</v>
      </c>
    </row>
    <row r="98" spans="1:25">
      <c r="A98" s="125" t="s">
        <v>44</v>
      </c>
      <c r="B98" t="s">
        <v>75</v>
      </c>
      <c r="C98" s="186" t="s">
        <v>322</v>
      </c>
      <c r="D98" t="s">
        <v>320</v>
      </c>
      <c r="E98" t="s">
        <v>376</v>
      </c>
      <c r="F98" s="134">
        <v>0.3431434692</v>
      </c>
      <c r="G98" s="135">
        <v>0.71049461199999997</v>
      </c>
      <c r="H98" s="135">
        <v>0.71477827599999988</v>
      </c>
      <c r="I98" s="135">
        <v>0.96263569300000018</v>
      </c>
      <c r="J98" s="136">
        <v>1.0988255469999999</v>
      </c>
      <c r="K98" s="135">
        <v>0</v>
      </c>
      <c r="L98" s="135">
        <v>0</v>
      </c>
      <c r="M98" s="135">
        <v>3.9649999999999995E-5</v>
      </c>
      <c r="N98" s="135">
        <v>1.5769699999999999E-4</v>
      </c>
      <c r="O98" s="135">
        <v>1.8728000000000001E-4</v>
      </c>
      <c r="P98" s="134">
        <v>0</v>
      </c>
      <c r="Q98" s="135">
        <v>0</v>
      </c>
      <c r="R98" s="135">
        <v>0</v>
      </c>
      <c r="S98" s="135">
        <v>0</v>
      </c>
      <c r="T98" s="136">
        <v>0</v>
      </c>
      <c r="U98" s="135">
        <v>4.9324779999999997E-3</v>
      </c>
      <c r="V98" s="135">
        <v>2.9317554000000003E-2</v>
      </c>
      <c r="W98" s="135">
        <v>4.3567134E-2</v>
      </c>
      <c r="X98" s="135">
        <v>5.5157803000000005E-2</v>
      </c>
      <c r="Y98" s="136">
        <v>6.4386434999999992E-2</v>
      </c>
    </row>
    <row r="99" spans="1:25">
      <c r="A99" s="125" t="s">
        <v>44</v>
      </c>
      <c r="B99" t="s">
        <v>75</v>
      </c>
      <c r="C99" s="186" t="s">
        <v>322</v>
      </c>
      <c r="D99" t="s">
        <v>323</v>
      </c>
      <c r="E99" t="s">
        <v>376</v>
      </c>
      <c r="F99" s="134">
        <v>0.22354137699999999</v>
      </c>
      <c r="G99" s="135">
        <v>0.36349032000000003</v>
      </c>
      <c r="H99" s="135">
        <v>0.60050640600000005</v>
      </c>
      <c r="I99" s="135">
        <v>1.3071365130000001</v>
      </c>
      <c r="J99" s="136">
        <v>1.9987811500000003</v>
      </c>
      <c r="K99" s="135">
        <v>0</v>
      </c>
      <c r="L99" s="135">
        <v>1.585773E-3</v>
      </c>
      <c r="M99" s="135">
        <v>1.6957510000000001E-3</v>
      </c>
      <c r="N99" s="135">
        <v>2.244715E-3</v>
      </c>
      <c r="O99" s="135">
        <v>2.2216930000000003E-3</v>
      </c>
      <c r="P99" s="134">
        <v>0</v>
      </c>
      <c r="Q99" s="135">
        <v>0</v>
      </c>
      <c r="R99" s="135">
        <v>0</v>
      </c>
      <c r="S99" s="135">
        <v>0</v>
      </c>
      <c r="T99" s="136">
        <v>0</v>
      </c>
      <c r="U99" s="135">
        <v>3.5807320000000004E-2</v>
      </c>
      <c r="V99" s="135">
        <v>0.19801073</v>
      </c>
      <c r="W99" s="135">
        <v>0.28731789600000002</v>
      </c>
      <c r="X99" s="135">
        <v>0.36051498100000001</v>
      </c>
      <c r="Y99" s="136">
        <v>0.41998485199999996</v>
      </c>
    </row>
    <row r="100" spans="1:25">
      <c r="A100" s="125" t="s">
        <v>44</v>
      </c>
      <c r="B100" t="s">
        <v>75</v>
      </c>
      <c r="C100" s="186" t="s">
        <v>322</v>
      </c>
      <c r="D100" t="s">
        <v>325</v>
      </c>
      <c r="E100" t="s">
        <v>376</v>
      </c>
      <c r="F100" s="134">
        <v>0.61222034699999994</v>
      </c>
      <c r="G100" s="135">
        <v>1.349840191</v>
      </c>
      <c r="H100" s="135">
        <v>1.6050010210000003</v>
      </c>
      <c r="I100" s="135">
        <v>2.4284583149999999</v>
      </c>
      <c r="J100" s="136">
        <v>3.0982743960000003</v>
      </c>
      <c r="K100" s="135">
        <v>0</v>
      </c>
      <c r="L100" s="135">
        <v>2.90878E-4</v>
      </c>
      <c r="M100" s="135">
        <v>2.23212E-4</v>
      </c>
      <c r="N100" s="135">
        <v>3.8300300000000003E-4</v>
      </c>
      <c r="O100" s="135">
        <v>3.6764799999999999E-4</v>
      </c>
      <c r="P100" s="134">
        <v>0</v>
      </c>
      <c r="Q100" s="135">
        <v>0</v>
      </c>
      <c r="R100" s="135">
        <v>0</v>
      </c>
      <c r="S100" s="135">
        <v>0</v>
      </c>
      <c r="T100" s="136">
        <v>0</v>
      </c>
      <c r="U100" s="135">
        <v>1.0501673999999999E-2</v>
      </c>
      <c r="V100" s="135">
        <v>4.2770146000000002E-2</v>
      </c>
      <c r="W100" s="135">
        <v>5.4364002000000002E-2</v>
      </c>
      <c r="X100" s="135">
        <v>6.4529371000000002E-2</v>
      </c>
      <c r="Y100" s="136">
        <v>7.4200223999999995E-2</v>
      </c>
    </row>
    <row r="101" spans="1:25">
      <c r="A101" s="125" t="s">
        <v>44</v>
      </c>
      <c r="B101" t="s">
        <v>75</v>
      </c>
      <c r="C101" s="186" t="s">
        <v>322</v>
      </c>
      <c r="D101" t="s">
        <v>327</v>
      </c>
      <c r="E101" t="s">
        <v>376</v>
      </c>
      <c r="F101" s="134">
        <v>0.114169069</v>
      </c>
      <c r="G101" s="135">
        <v>0.23507916200000004</v>
      </c>
      <c r="H101" s="135">
        <v>0.46047030300000003</v>
      </c>
      <c r="I101" s="135">
        <v>0.92415129700000009</v>
      </c>
      <c r="J101" s="136">
        <v>1.393952767</v>
      </c>
      <c r="K101" s="135">
        <v>0</v>
      </c>
      <c r="L101" s="135">
        <v>0</v>
      </c>
      <c r="M101" s="135">
        <v>6.6320000000000002E-5</v>
      </c>
      <c r="N101" s="135">
        <v>2.6361400000000001E-4</v>
      </c>
      <c r="O101" s="135">
        <v>3.1309400000000004E-4</v>
      </c>
      <c r="P101" s="134">
        <v>0</v>
      </c>
      <c r="Q101" s="135">
        <v>0</v>
      </c>
      <c r="R101" s="135">
        <v>0</v>
      </c>
      <c r="S101" s="135">
        <v>0</v>
      </c>
      <c r="T101" s="136">
        <v>0</v>
      </c>
      <c r="U101" s="135">
        <v>6.7314290000000006E-3</v>
      </c>
      <c r="V101" s="135">
        <v>3.238742E-2</v>
      </c>
      <c r="W101" s="135">
        <v>4.4562319999999996E-2</v>
      </c>
      <c r="X101" s="135">
        <v>5.4750518999999997E-2</v>
      </c>
      <c r="Y101" s="136">
        <v>6.3474285000000005E-2</v>
      </c>
    </row>
    <row r="102" spans="1:25">
      <c r="A102" s="125" t="s">
        <v>44</v>
      </c>
      <c r="B102" t="s">
        <v>75</v>
      </c>
      <c r="C102" s="186" t="s">
        <v>322</v>
      </c>
      <c r="D102" t="s">
        <v>329</v>
      </c>
      <c r="E102" t="s">
        <v>376</v>
      </c>
      <c r="F102" s="134">
        <v>0.14364714599999998</v>
      </c>
      <c r="G102" s="135">
        <v>0.23648683599999998</v>
      </c>
      <c r="H102" s="135">
        <v>0.41485229799999995</v>
      </c>
      <c r="I102" s="135">
        <v>0.85160607300000002</v>
      </c>
      <c r="J102" s="136">
        <v>1.2811336070000001</v>
      </c>
      <c r="K102" s="135">
        <v>0</v>
      </c>
      <c r="L102" s="135">
        <v>3.42825E-4</v>
      </c>
      <c r="M102" s="135">
        <v>2.5155300000000001E-4</v>
      </c>
      <c r="N102" s="135">
        <v>4.0557899999999999E-4</v>
      </c>
      <c r="O102" s="135">
        <v>3.7895099999999998E-4</v>
      </c>
      <c r="P102" s="134">
        <v>0</v>
      </c>
      <c r="Q102" s="135">
        <v>0</v>
      </c>
      <c r="R102" s="135">
        <v>0</v>
      </c>
      <c r="S102" s="135">
        <v>0</v>
      </c>
      <c r="T102" s="136">
        <v>0</v>
      </c>
      <c r="U102" s="135">
        <v>1.6065348E-2</v>
      </c>
      <c r="V102" s="135">
        <v>7.9335278000000009E-2</v>
      </c>
      <c r="W102" s="135">
        <v>0.11033712300000001</v>
      </c>
      <c r="X102" s="135">
        <v>0.13615828600000002</v>
      </c>
      <c r="Y102" s="136">
        <v>0.15801389599999999</v>
      </c>
    </row>
    <row r="103" spans="1:25">
      <c r="A103" s="125" t="s">
        <v>44</v>
      </c>
      <c r="B103" t="s">
        <v>75</v>
      </c>
      <c r="C103" s="186" t="s">
        <v>322</v>
      </c>
      <c r="D103" t="s">
        <v>331</v>
      </c>
      <c r="E103" t="s">
        <v>376</v>
      </c>
      <c r="F103" s="134">
        <v>7.7919447999999988E-2</v>
      </c>
      <c r="G103" s="135">
        <v>0.11786439199999997</v>
      </c>
      <c r="H103" s="135">
        <v>0.22890966800000001</v>
      </c>
      <c r="I103" s="135">
        <v>0.45782069399999997</v>
      </c>
      <c r="J103" s="136">
        <v>0.67539660999999995</v>
      </c>
      <c r="K103" s="135">
        <v>0</v>
      </c>
      <c r="L103" s="135">
        <v>3.1689799999999997E-4</v>
      </c>
      <c r="M103" s="135">
        <v>3.5179800000000001E-4</v>
      </c>
      <c r="N103" s="135">
        <v>8.1020000000000007E-4</v>
      </c>
      <c r="O103" s="135">
        <v>8.4622600000000005E-4</v>
      </c>
      <c r="P103" s="134">
        <v>0</v>
      </c>
      <c r="Q103" s="135">
        <v>0</v>
      </c>
      <c r="R103" s="135">
        <v>0</v>
      </c>
      <c r="S103" s="135">
        <v>0</v>
      </c>
      <c r="T103" s="136">
        <v>0</v>
      </c>
      <c r="U103" s="135">
        <v>4.156638E-2</v>
      </c>
      <c r="V103" s="135">
        <v>0.26117618500000001</v>
      </c>
      <c r="W103" s="135">
        <v>0.39472349299999998</v>
      </c>
      <c r="X103" s="135">
        <v>0.50282354899999993</v>
      </c>
      <c r="Y103" s="136">
        <v>0.58776129099999996</v>
      </c>
    </row>
    <row r="104" spans="1:25">
      <c r="A104" s="125" t="s">
        <v>44</v>
      </c>
      <c r="B104" t="s">
        <v>75</v>
      </c>
      <c r="C104" s="186" t="s">
        <v>322</v>
      </c>
      <c r="D104" t="s">
        <v>333</v>
      </c>
      <c r="E104" t="s">
        <v>376</v>
      </c>
      <c r="F104" s="134">
        <v>2.8670504999999999E-2</v>
      </c>
      <c r="G104" s="135">
        <v>4.4285702999999996E-2</v>
      </c>
      <c r="H104" s="135">
        <v>0.123282184</v>
      </c>
      <c r="I104" s="135">
        <v>0.24123841700000001</v>
      </c>
      <c r="J104" s="136">
        <v>0.35219747899999998</v>
      </c>
      <c r="K104" s="135">
        <v>0</v>
      </c>
      <c r="L104" s="135">
        <v>0</v>
      </c>
      <c r="M104" s="135">
        <v>1.137E-4</v>
      </c>
      <c r="N104" s="135">
        <v>4.5230900000000002E-4</v>
      </c>
      <c r="O104" s="135">
        <v>5.3714300000000002E-4</v>
      </c>
      <c r="P104" s="134">
        <v>0</v>
      </c>
      <c r="Q104" s="135">
        <v>0</v>
      </c>
      <c r="R104" s="135">
        <v>0</v>
      </c>
      <c r="S104" s="135">
        <v>0</v>
      </c>
      <c r="T104" s="136">
        <v>0</v>
      </c>
      <c r="U104" s="135">
        <v>6.8344044999999992E-2</v>
      </c>
      <c r="V104" s="135">
        <v>0.45312895599999997</v>
      </c>
      <c r="W104" s="135">
        <v>0.69531746399999994</v>
      </c>
      <c r="X104" s="135">
        <v>0.89056031999999996</v>
      </c>
      <c r="Y104" s="136">
        <v>1.0422503330000001</v>
      </c>
    </row>
    <row r="105" spans="1:25">
      <c r="A105" s="125" t="s">
        <v>44</v>
      </c>
      <c r="B105" t="s">
        <v>75</v>
      </c>
      <c r="C105" s="186" t="s">
        <v>322</v>
      </c>
      <c r="D105" t="s">
        <v>335</v>
      </c>
      <c r="E105" t="s">
        <v>376</v>
      </c>
      <c r="F105" s="134">
        <v>0.10661060099999999</v>
      </c>
      <c r="G105" s="135">
        <v>0.14762813699999999</v>
      </c>
      <c r="H105" s="135">
        <v>0.27843057300000001</v>
      </c>
      <c r="I105" s="135">
        <v>0.53895948400000004</v>
      </c>
      <c r="J105" s="136">
        <v>0.77345579600000003</v>
      </c>
      <c r="K105" s="135">
        <v>0</v>
      </c>
      <c r="L105" s="135">
        <v>2.9093180000000001E-3</v>
      </c>
      <c r="M105" s="135">
        <v>3.0028869999999997E-3</v>
      </c>
      <c r="N105" s="135">
        <v>3.8298500000000001E-3</v>
      </c>
      <c r="O105" s="135">
        <v>3.751721E-3</v>
      </c>
      <c r="P105" s="134">
        <v>0</v>
      </c>
      <c r="Q105" s="135">
        <v>0</v>
      </c>
      <c r="R105" s="135">
        <v>0</v>
      </c>
      <c r="S105" s="135">
        <v>0</v>
      </c>
      <c r="T105" s="136">
        <v>0</v>
      </c>
      <c r="U105" s="135">
        <v>4.6589860999999996E-2</v>
      </c>
      <c r="V105" s="135">
        <v>0.26997117100000001</v>
      </c>
      <c r="W105" s="135">
        <v>0.39793732700000001</v>
      </c>
      <c r="X105" s="135">
        <v>0.50228541100000001</v>
      </c>
      <c r="Y105" s="136">
        <v>0.58592633299999997</v>
      </c>
    </row>
    <row r="106" spans="1:25">
      <c r="A106" s="125" t="s">
        <v>44</v>
      </c>
      <c r="B106" t="s">
        <v>75</v>
      </c>
      <c r="C106" s="186" t="s">
        <v>322</v>
      </c>
      <c r="D106" t="s">
        <v>337</v>
      </c>
      <c r="E106" t="s">
        <v>376</v>
      </c>
      <c r="F106" s="134">
        <v>6.7803840000000004E-2</v>
      </c>
      <c r="G106" s="135">
        <v>0.101195014</v>
      </c>
      <c r="H106" s="135">
        <v>0.22468892199999996</v>
      </c>
      <c r="I106" s="135">
        <v>0.419349421</v>
      </c>
      <c r="J106" s="136">
        <v>0.60000854000000003</v>
      </c>
      <c r="K106" s="135">
        <v>0</v>
      </c>
      <c r="L106" s="135">
        <v>3.1042500000000002E-4</v>
      </c>
      <c r="M106" s="135">
        <v>2.3389400000000001E-4</v>
      </c>
      <c r="N106" s="135">
        <v>3.91705E-4</v>
      </c>
      <c r="O106" s="135">
        <v>3.7218100000000002E-4</v>
      </c>
      <c r="P106" s="134">
        <v>0</v>
      </c>
      <c r="Q106" s="135">
        <v>0</v>
      </c>
      <c r="R106" s="135">
        <v>0</v>
      </c>
      <c r="S106" s="135">
        <v>0</v>
      </c>
      <c r="T106" s="136">
        <v>0</v>
      </c>
      <c r="U106" s="135">
        <v>1.2945268999999999E-2</v>
      </c>
      <c r="V106" s="135">
        <v>6.5856080999999997E-2</v>
      </c>
      <c r="W106" s="135">
        <v>9.2676845999999993E-2</v>
      </c>
      <c r="X106" s="135">
        <v>0.11490764299999999</v>
      </c>
      <c r="Y106" s="136">
        <v>0.13349797300000002</v>
      </c>
    </row>
    <row r="107" spans="1:25">
      <c r="A107" s="125" t="s">
        <v>44</v>
      </c>
      <c r="B107" t="s">
        <v>75</v>
      </c>
      <c r="C107" s="186" t="s">
        <v>322</v>
      </c>
      <c r="D107" t="s">
        <v>339</v>
      </c>
      <c r="E107" t="s">
        <v>376</v>
      </c>
      <c r="F107" s="134">
        <v>0.16848111299999999</v>
      </c>
      <c r="G107" s="135">
        <v>0.35335630899999998</v>
      </c>
      <c r="H107" s="135">
        <v>0.45697472600000011</v>
      </c>
      <c r="I107" s="135">
        <v>0.78651664399999999</v>
      </c>
      <c r="J107" s="136">
        <v>1.0980376809999999</v>
      </c>
      <c r="K107" s="135">
        <v>0</v>
      </c>
      <c r="L107" s="135">
        <v>2.6106600000000001E-4</v>
      </c>
      <c r="M107" s="135">
        <v>1.7597399999999999E-4</v>
      </c>
      <c r="N107" s="135">
        <v>2.47132E-4</v>
      </c>
      <c r="O107" s="135">
        <v>2.15243E-4</v>
      </c>
      <c r="P107" s="134">
        <v>0</v>
      </c>
      <c r="Q107" s="135">
        <v>0</v>
      </c>
      <c r="R107" s="135">
        <v>0</v>
      </c>
      <c r="S107" s="135">
        <v>0</v>
      </c>
      <c r="T107" s="136">
        <v>0</v>
      </c>
      <c r="U107" s="135">
        <v>3.288343E-3</v>
      </c>
      <c r="V107" s="135">
        <v>1.3027184000000001E-2</v>
      </c>
      <c r="W107" s="135">
        <v>1.6309093E-2</v>
      </c>
      <c r="X107" s="135">
        <v>1.9222379000000001E-2</v>
      </c>
      <c r="Y107" s="136">
        <v>2.2065104999999998E-2</v>
      </c>
    </row>
    <row r="108" spans="1:25">
      <c r="A108" s="125" t="s">
        <v>44</v>
      </c>
      <c r="B108" t="s">
        <v>75</v>
      </c>
      <c r="C108" s="186" t="s">
        <v>322</v>
      </c>
      <c r="D108" t="s">
        <v>341</v>
      </c>
      <c r="E108" t="s">
        <v>376</v>
      </c>
      <c r="F108" s="134">
        <v>7.5924700000000012E-2</v>
      </c>
      <c r="G108" s="135">
        <v>0.149646579</v>
      </c>
      <c r="H108" s="135">
        <v>0.28797306299999997</v>
      </c>
      <c r="I108" s="135">
        <v>0.57734644900000021</v>
      </c>
      <c r="J108" s="136">
        <v>0.86990011299999981</v>
      </c>
      <c r="K108" s="135">
        <v>0</v>
      </c>
      <c r="L108" s="135">
        <v>2.68433E-4</v>
      </c>
      <c r="M108" s="135">
        <v>2.17321E-4</v>
      </c>
      <c r="N108" s="135">
        <v>3.9860299999999998E-4</v>
      </c>
      <c r="O108" s="135">
        <v>4.3092800000000002E-4</v>
      </c>
      <c r="P108" s="134">
        <v>0</v>
      </c>
      <c r="Q108" s="135">
        <v>0</v>
      </c>
      <c r="R108" s="135">
        <v>0</v>
      </c>
      <c r="S108" s="135">
        <v>0</v>
      </c>
      <c r="T108" s="136">
        <v>0</v>
      </c>
      <c r="U108" s="135">
        <v>2.8523136999999997E-2</v>
      </c>
      <c r="V108" s="135">
        <v>0.160666325</v>
      </c>
      <c r="W108" s="135">
        <v>0.23460715199999999</v>
      </c>
      <c r="X108" s="135">
        <v>0.29508261999999996</v>
      </c>
      <c r="Y108" s="136">
        <v>0.34394574499999997</v>
      </c>
    </row>
    <row r="109" spans="1:25">
      <c r="A109" s="125" t="s">
        <v>44</v>
      </c>
      <c r="B109" t="s">
        <v>75</v>
      </c>
      <c r="C109" s="186" t="s">
        <v>322</v>
      </c>
      <c r="D109" t="s">
        <v>343</v>
      </c>
      <c r="E109" t="s">
        <v>376</v>
      </c>
      <c r="F109" s="134">
        <v>2.6953009000000003E-2</v>
      </c>
      <c r="G109" s="135">
        <v>5.2784644000000006E-2</v>
      </c>
      <c r="H109" s="135">
        <v>0.115979896</v>
      </c>
      <c r="I109" s="135">
        <v>0.224459198</v>
      </c>
      <c r="J109" s="136">
        <v>0.33411981899999998</v>
      </c>
      <c r="K109" s="135">
        <v>0</v>
      </c>
      <c r="L109" s="135">
        <v>2.2218800000000001E-4</v>
      </c>
      <c r="M109" s="135">
        <v>1.35721E-4</v>
      </c>
      <c r="N109" s="135">
        <v>1.5422499999999999E-4</v>
      </c>
      <c r="O109" s="135">
        <v>1.165E-4</v>
      </c>
      <c r="P109" s="134">
        <v>0</v>
      </c>
      <c r="Q109" s="135">
        <v>0</v>
      </c>
      <c r="R109" s="135">
        <v>0</v>
      </c>
      <c r="S109" s="135">
        <v>0</v>
      </c>
      <c r="T109" s="136">
        <v>0</v>
      </c>
      <c r="U109" s="135">
        <v>8.5299390000000003E-3</v>
      </c>
      <c r="V109" s="135">
        <v>4.9772933999999998E-2</v>
      </c>
      <c r="W109" s="135">
        <v>7.3530886000000004E-2</v>
      </c>
      <c r="X109" s="135">
        <v>9.2890376999999996E-2</v>
      </c>
      <c r="Y109" s="136">
        <v>0.108379055</v>
      </c>
    </row>
    <row r="110" spans="1:25">
      <c r="A110" s="129" t="s">
        <v>46</v>
      </c>
      <c r="B110" s="130" t="s">
        <v>75</v>
      </c>
      <c r="C110" s="188" t="s">
        <v>101</v>
      </c>
      <c r="D110" s="130" t="s">
        <v>138</v>
      </c>
      <c r="E110" s="130" t="s">
        <v>376</v>
      </c>
      <c r="F110" s="131">
        <v>0.96710494494000021</v>
      </c>
      <c r="G110" s="132">
        <v>2.7857223917999989</v>
      </c>
      <c r="H110" s="132">
        <v>5.8679983740000008</v>
      </c>
      <c r="I110" s="132">
        <v>10.940843403000002</v>
      </c>
      <c r="J110" s="133">
        <v>14.752030356000002</v>
      </c>
      <c r="K110" s="132">
        <v>0</v>
      </c>
      <c r="L110" s="132">
        <v>0</v>
      </c>
      <c r="M110" s="132">
        <v>0</v>
      </c>
      <c r="N110" s="132">
        <v>0</v>
      </c>
      <c r="O110" s="132">
        <v>0</v>
      </c>
      <c r="P110" s="131">
        <v>0</v>
      </c>
      <c r="Q110" s="132">
        <v>0</v>
      </c>
      <c r="R110" s="132">
        <v>0</v>
      </c>
      <c r="S110" s="132">
        <v>0</v>
      </c>
      <c r="T110" s="133">
        <v>0</v>
      </c>
      <c r="U110" s="132">
        <v>1.159896E-2</v>
      </c>
      <c r="V110" s="132">
        <v>4.3946001999999998E-2</v>
      </c>
      <c r="W110" s="132">
        <v>5.3622083000000001E-2</v>
      </c>
      <c r="X110" s="132">
        <v>6.2439914999999999E-2</v>
      </c>
      <c r="Y110" s="133">
        <v>7.1478475E-2</v>
      </c>
    </row>
    <row r="111" spans="1:25">
      <c r="A111" s="125" t="s">
        <v>46</v>
      </c>
      <c r="B111" t="s">
        <v>75</v>
      </c>
      <c r="C111" s="186" t="s">
        <v>101</v>
      </c>
      <c r="D111" t="s">
        <v>140</v>
      </c>
      <c r="E111" t="s">
        <v>376</v>
      </c>
      <c r="F111" s="134">
        <v>0.40448825278</v>
      </c>
      <c r="G111" s="135">
        <v>1.4165409536</v>
      </c>
      <c r="H111" s="135">
        <v>2.2084053199999998</v>
      </c>
      <c r="I111" s="135">
        <v>3.0801597699999999</v>
      </c>
      <c r="J111" s="136">
        <v>3.4697705950000004</v>
      </c>
      <c r="K111" s="135">
        <v>0</v>
      </c>
      <c r="L111" s="135">
        <v>0</v>
      </c>
      <c r="M111" s="135">
        <v>0</v>
      </c>
      <c r="N111" s="135">
        <v>0</v>
      </c>
      <c r="O111" s="135">
        <v>0</v>
      </c>
      <c r="P111" s="134">
        <v>0</v>
      </c>
      <c r="Q111" s="135">
        <v>0</v>
      </c>
      <c r="R111" s="135">
        <v>0</v>
      </c>
      <c r="S111" s="135">
        <v>0</v>
      </c>
      <c r="T111" s="136">
        <v>0</v>
      </c>
      <c r="U111" s="135">
        <v>8.519212E-3</v>
      </c>
      <c r="V111" s="135">
        <v>1.9825015000000001E-2</v>
      </c>
      <c r="W111" s="135">
        <v>1.5034691000000001E-2</v>
      </c>
      <c r="X111" s="135">
        <v>1.2281372E-2</v>
      </c>
      <c r="Y111" s="136">
        <v>1.2553379E-2</v>
      </c>
    </row>
    <row r="112" spans="1:25">
      <c r="A112" s="125" t="s">
        <v>46</v>
      </c>
      <c r="B112" t="s">
        <v>75</v>
      </c>
      <c r="C112" s="186" t="s">
        <v>101</v>
      </c>
      <c r="D112" t="s">
        <v>142</v>
      </c>
      <c r="E112" t="s">
        <v>376</v>
      </c>
      <c r="F112" s="134">
        <v>1.0388829878899999</v>
      </c>
      <c r="G112" s="135">
        <v>4.0084735082999998</v>
      </c>
      <c r="H112" s="135">
        <v>6.790884085000001</v>
      </c>
      <c r="I112" s="135">
        <v>9.6139360140000019</v>
      </c>
      <c r="J112" s="136">
        <v>11.28990935</v>
      </c>
      <c r="K112" s="135">
        <v>0</v>
      </c>
      <c r="L112" s="135">
        <v>0</v>
      </c>
      <c r="M112" s="135">
        <v>0</v>
      </c>
      <c r="N112" s="135">
        <v>0</v>
      </c>
      <c r="O112" s="135">
        <v>0</v>
      </c>
      <c r="P112" s="134">
        <v>0</v>
      </c>
      <c r="Q112" s="135">
        <v>0</v>
      </c>
      <c r="R112" s="135">
        <v>0</v>
      </c>
      <c r="S112" s="135">
        <v>0</v>
      </c>
      <c r="T112" s="136">
        <v>0</v>
      </c>
      <c r="U112" s="135">
        <v>1.0986942999999999E-2</v>
      </c>
      <c r="V112" s="135">
        <v>2.6542814000000001E-2</v>
      </c>
      <c r="W112" s="135">
        <v>2.1303717E-2</v>
      </c>
      <c r="X112" s="135">
        <v>1.8488581E-2</v>
      </c>
      <c r="Y112" s="136">
        <v>1.9355208999999998E-2</v>
      </c>
    </row>
    <row r="113" spans="1:25">
      <c r="A113" s="125" t="s">
        <v>46</v>
      </c>
      <c r="B113" t="s">
        <v>75</v>
      </c>
      <c r="C113" s="186" t="s">
        <v>146</v>
      </c>
      <c r="D113" t="s">
        <v>144</v>
      </c>
      <c r="E113" t="s">
        <v>376</v>
      </c>
      <c r="F113" s="134">
        <v>2.8754398999999995E-3</v>
      </c>
      <c r="G113" s="135">
        <v>5.1613800000000001E-3</v>
      </c>
      <c r="H113" s="135">
        <v>1.1123291E-2</v>
      </c>
      <c r="I113" s="135">
        <v>3.1476013999999997E-2</v>
      </c>
      <c r="J113" s="136">
        <v>5.5066241000000002E-2</v>
      </c>
      <c r="K113" s="135">
        <v>0</v>
      </c>
      <c r="L113" s="135">
        <v>0</v>
      </c>
      <c r="M113" s="135">
        <v>0</v>
      </c>
      <c r="N113" s="135">
        <v>0</v>
      </c>
      <c r="O113" s="135">
        <v>0</v>
      </c>
      <c r="P113" s="134">
        <v>3.2317999999999998E-5</v>
      </c>
      <c r="Q113" s="135">
        <v>3.2423000000000004E-5</v>
      </c>
      <c r="R113" s="135">
        <v>3.2239000000000001E-5</v>
      </c>
      <c r="S113" s="135">
        <v>3.1964000000000001E-5</v>
      </c>
      <c r="T113" s="136">
        <v>3.1590000000000001E-5</v>
      </c>
      <c r="U113" s="135">
        <v>1.9985399999999999E-4</v>
      </c>
      <c r="V113" s="135">
        <v>4.49195E-4</v>
      </c>
      <c r="W113" s="135">
        <v>3.21878E-4</v>
      </c>
      <c r="X113" s="135">
        <v>2.45944E-4</v>
      </c>
      <c r="Y113" s="136">
        <v>2.4477199999999998E-4</v>
      </c>
    </row>
    <row r="114" spans="1:25">
      <c r="A114" s="125" t="s">
        <v>46</v>
      </c>
      <c r="B114" t="s">
        <v>75</v>
      </c>
      <c r="C114" s="186" t="s">
        <v>146</v>
      </c>
      <c r="D114" t="s">
        <v>147</v>
      </c>
      <c r="E114" t="s">
        <v>376</v>
      </c>
      <c r="F114" s="134">
        <v>5.800620727000001</v>
      </c>
      <c r="G114" s="135">
        <v>17.899393100000001</v>
      </c>
      <c r="H114" s="135">
        <v>39.118983727000007</v>
      </c>
      <c r="I114" s="135">
        <v>74.629494619000013</v>
      </c>
      <c r="J114" s="136">
        <v>103.41298365200001</v>
      </c>
      <c r="K114" s="135">
        <v>0</v>
      </c>
      <c r="L114" s="135">
        <v>0</v>
      </c>
      <c r="M114" s="135">
        <v>0</v>
      </c>
      <c r="N114" s="135">
        <v>0</v>
      </c>
      <c r="O114" s="135">
        <v>0</v>
      </c>
      <c r="P114" s="134">
        <v>7.5073799999999993E-4</v>
      </c>
      <c r="Q114" s="135">
        <v>7.4326899999999996E-4</v>
      </c>
      <c r="R114" s="135">
        <v>7.268419999999999E-4</v>
      </c>
      <c r="S114" s="135">
        <v>7.1092200000000001E-4</v>
      </c>
      <c r="T114" s="136">
        <v>6.9340799999999996E-4</v>
      </c>
      <c r="U114" s="135">
        <v>1.6081837000000002E-2</v>
      </c>
      <c r="V114" s="135">
        <v>3.6318596000000002E-2</v>
      </c>
      <c r="W114" s="135">
        <v>2.6238736999999998E-2</v>
      </c>
      <c r="X114" s="135">
        <v>2.0256405000000002E-2</v>
      </c>
      <c r="Y114" s="136">
        <v>2.0250104999999997E-2</v>
      </c>
    </row>
    <row r="115" spans="1:25">
      <c r="A115" s="125" t="s">
        <v>46</v>
      </c>
      <c r="B115" t="s">
        <v>75</v>
      </c>
      <c r="C115" s="186" t="s">
        <v>146</v>
      </c>
      <c r="D115" t="s">
        <v>149</v>
      </c>
      <c r="E115" t="s">
        <v>376</v>
      </c>
      <c r="F115" s="134">
        <v>0.69465281699999992</v>
      </c>
      <c r="G115" s="135">
        <v>2.3480268220000005</v>
      </c>
      <c r="H115" s="135">
        <v>3.9704198879999999</v>
      </c>
      <c r="I115" s="135">
        <v>5.0615878170000004</v>
      </c>
      <c r="J115" s="136">
        <v>5.2924420170000008</v>
      </c>
      <c r="K115" s="135">
        <v>0</v>
      </c>
      <c r="L115" s="135">
        <v>0</v>
      </c>
      <c r="M115" s="135">
        <v>0</v>
      </c>
      <c r="N115" s="135">
        <v>0</v>
      </c>
      <c r="O115" s="135">
        <v>0</v>
      </c>
      <c r="P115" s="134">
        <v>4.5883999999999996E-4</v>
      </c>
      <c r="Q115" s="135">
        <v>4.5360400000000003E-4</v>
      </c>
      <c r="R115" s="135">
        <v>4.4309999999999998E-4</v>
      </c>
      <c r="S115" s="135">
        <v>4.3304900000000002E-4</v>
      </c>
      <c r="T115" s="136">
        <v>4.2240400000000003E-4</v>
      </c>
      <c r="U115" s="135">
        <v>1.5800778000000001E-2</v>
      </c>
      <c r="V115" s="135">
        <v>3.5568304000000002E-2</v>
      </c>
      <c r="W115" s="135">
        <v>2.5554151000000001E-2</v>
      </c>
      <c r="X115" s="135">
        <v>1.9590712999999999E-2</v>
      </c>
      <c r="Y115" s="136">
        <v>1.9525448000000001E-2</v>
      </c>
    </row>
    <row r="116" spans="1:25">
      <c r="A116" s="125" t="s">
        <v>46</v>
      </c>
      <c r="B116" t="s">
        <v>75</v>
      </c>
      <c r="C116" s="186" t="s">
        <v>356</v>
      </c>
      <c r="D116" t="s">
        <v>354</v>
      </c>
      <c r="E116" t="s">
        <v>376</v>
      </c>
      <c r="F116" s="134">
        <v>0.95350082579999995</v>
      </c>
      <c r="G116" s="135">
        <v>2.8684196519559997</v>
      </c>
      <c r="H116" s="135">
        <v>5.9087329241999997</v>
      </c>
      <c r="I116" s="135">
        <v>11.072091978</v>
      </c>
      <c r="J116" s="136">
        <v>14.925590001999998</v>
      </c>
      <c r="K116" s="135">
        <v>0</v>
      </c>
      <c r="L116" s="135">
        <v>0</v>
      </c>
      <c r="M116" s="135">
        <v>0</v>
      </c>
      <c r="N116" s="135">
        <v>0</v>
      </c>
      <c r="O116" s="135">
        <v>0</v>
      </c>
      <c r="P116" s="134">
        <v>0</v>
      </c>
      <c r="Q116" s="135">
        <v>1.9388400000000002E-4</v>
      </c>
      <c r="R116" s="135">
        <v>1.8478900000000001E-4</v>
      </c>
      <c r="S116" s="135">
        <v>1.4314499999999999E-4</v>
      </c>
      <c r="T116" s="136">
        <v>1.9018399999999998E-4</v>
      </c>
      <c r="U116" s="135">
        <v>7.6852559999999997E-3</v>
      </c>
      <c r="V116" s="135">
        <v>3.1469032000000001E-2</v>
      </c>
      <c r="W116" s="135">
        <v>3.9982513999999997E-2</v>
      </c>
      <c r="X116" s="135">
        <v>4.7313788000000002E-2</v>
      </c>
      <c r="Y116" s="136">
        <v>5.4188270999999996E-2</v>
      </c>
    </row>
    <row r="117" spans="1:25">
      <c r="A117" s="125" t="s">
        <v>46</v>
      </c>
      <c r="B117" t="s">
        <v>75</v>
      </c>
      <c r="C117" s="186" t="s">
        <v>356</v>
      </c>
      <c r="D117" t="s">
        <v>357</v>
      </c>
      <c r="E117" t="s">
        <v>376</v>
      </c>
      <c r="F117" s="134">
        <v>0.31759243402199999</v>
      </c>
      <c r="G117" s="135">
        <v>0.95812300282999996</v>
      </c>
      <c r="H117" s="135">
        <v>2.208399</v>
      </c>
      <c r="I117" s="135">
        <v>4.0170597030000001</v>
      </c>
      <c r="J117" s="136">
        <v>5.2530230729999996</v>
      </c>
      <c r="K117" s="135">
        <v>0</v>
      </c>
      <c r="L117" s="135">
        <v>0</v>
      </c>
      <c r="M117" s="135">
        <v>0</v>
      </c>
      <c r="N117" s="135">
        <v>0</v>
      </c>
      <c r="O117" s="135">
        <v>0</v>
      </c>
      <c r="P117" s="134">
        <v>0</v>
      </c>
      <c r="Q117" s="135">
        <v>2.4886299999999999E-4</v>
      </c>
      <c r="R117" s="135">
        <v>2.4192199999999999E-4</v>
      </c>
      <c r="S117" s="135">
        <v>1.9078199999999999E-4</v>
      </c>
      <c r="T117" s="136">
        <v>2.67428E-4</v>
      </c>
      <c r="U117" s="135">
        <v>1.0686444E-2</v>
      </c>
      <c r="V117" s="135">
        <v>4.5291802999999999E-2</v>
      </c>
      <c r="W117" s="135">
        <v>5.8909887000000001E-2</v>
      </c>
      <c r="X117" s="135">
        <v>7.0793625999999998E-2</v>
      </c>
      <c r="Y117" s="136">
        <v>8.182171399999999E-2</v>
      </c>
    </row>
    <row r="118" spans="1:25">
      <c r="A118" s="125" t="s">
        <v>46</v>
      </c>
      <c r="B118" t="s">
        <v>75</v>
      </c>
      <c r="C118" s="186" t="s">
        <v>153</v>
      </c>
      <c r="D118" t="s">
        <v>151</v>
      </c>
      <c r="E118" t="s">
        <v>376</v>
      </c>
      <c r="F118" s="134">
        <v>1.5506289000000001E-2</v>
      </c>
      <c r="G118" s="135">
        <v>4.9039009000000001E-2</v>
      </c>
      <c r="H118" s="135">
        <v>9.8366934000000003E-2</v>
      </c>
      <c r="I118" s="135">
        <v>0.379625991</v>
      </c>
      <c r="J118" s="136">
        <v>0.59454112299999995</v>
      </c>
      <c r="K118" s="135">
        <v>0</v>
      </c>
      <c r="L118" s="135">
        <v>0</v>
      </c>
      <c r="M118" s="135">
        <v>0</v>
      </c>
      <c r="N118" s="135">
        <v>0</v>
      </c>
      <c r="O118" s="135">
        <v>0</v>
      </c>
      <c r="P118" s="134">
        <v>3.1080799999999998E-4</v>
      </c>
      <c r="Q118" s="135">
        <v>3.7701399999999995E-4</v>
      </c>
      <c r="R118" s="135">
        <v>3.8981200000000001E-4</v>
      </c>
      <c r="S118" s="135">
        <v>3.9549000000000008E-4</v>
      </c>
      <c r="T118" s="136">
        <v>4.1139799999999999E-4</v>
      </c>
      <c r="U118" s="135">
        <v>8.9790895000000009E-2</v>
      </c>
      <c r="V118" s="135">
        <v>0.591446001</v>
      </c>
      <c r="W118" s="135">
        <v>0.90593549200000001</v>
      </c>
      <c r="X118" s="135">
        <v>1.159582801</v>
      </c>
      <c r="Y118" s="136">
        <v>1.3569050029999998</v>
      </c>
    </row>
    <row r="119" spans="1:25">
      <c r="A119" s="125" t="s">
        <v>46</v>
      </c>
      <c r="B119" t="s">
        <v>75</v>
      </c>
      <c r="C119" s="186" t="s">
        <v>111</v>
      </c>
      <c r="D119" t="s">
        <v>154</v>
      </c>
      <c r="E119" t="s">
        <v>376</v>
      </c>
      <c r="F119" s="134">
        <v>2.1271706580000003</v>
      </c>
      <c r="G119" s="135">
        <v>7.0929218570000012</v>
      </c>
      <c r="H119" s="135">
        <v>12.692856473000001</v>
      </c>
      <c r="I119" s="135">
        <v>21.084187487999994</v>
      </c>
      <c r="J119" s="136">
        <v>26.669560226999995</v>
      </c>
      <c r="K119" s="135">
        <v>0</v>
      </c>
      <c r="L119" s="135">
        <v>0</v>
      </c>
      <c r="M119" s="135">
        <v>0</v>
      </c>
      <c r="N119" s="135">
        <v>0</v>
      </c>
      <c r="O119" s="135">
        <v>0</v>
      </c>
      <c r="P119" s="134">
        <v>0</v>
      </c>
      <c r="Q119" s="135">
        <v>1.7573100000000002E-4</v>
      </c>
      <c r="R119" s="135">
        <v>2.7198499999999998E-4</v>
      </c>
      <c r="S119" s="135">
        <v>3.6886300000000004E-4</v>
      </c>
      <c r="T119" s="136">
        <v>2.7437700000000002E-4</v>
      </c>
      <c r="U119" s="135">
        <v>2.1142701999999999E-2</v>
      </c>
      <c r="V119" s="135">
        <v>4.8663215999999995E-2</v>
      </c>
      <c r="W119" s="135">
        <v>3.6284230000000001E-2</v>
      </c>
      <c r="X119" s="135">
        <v>2.9095020999999999E-2</v>
      </c>
      <c r="Y119" s="136">
        <v>2.9551226E-2</v>
      </c>
    </row>
    <row r="120" spans="1:25">
      <c r="A120" s="125" t="s">
        <v>46</v>
      </c>
      <c r="B120" t="s">
        <v>75</v>
      </c>
      <c r="C120" s="186" t="s">
        <v>113</v>
      </c>
      <c r="D120" t="s">
        <v>193</v>
      </c>
      <c r="E120" t="s">
        <v>376</v>
      </c>
      <c r="F120" s="134">
        <v>1.7607508889999994</v>
      </c>
      <c r="G120" s="135">
        <v>5.7437822840000052</v>
      </c>
      <c r="H120" s="135">
        <v>11.539330754000007</v>
      </c>
      <c r="I120" s="135">
        <v>25.859867775999984</v>
      </c>
      <c r="J120" s="136">
        <v>30.61189866199998</v>
      </c>
      <c r="K120" s="135">
        <v>0</v>
      </c>
      <c r="L120" s="135">
        <v>0</v>
      </c>
      <c r="M120" s="135">
        <v>5.8091862000000062E-5</v>
      </c>
      <c r="N120" s="135">
        <v>7.7300012000000042E-5</v>
      </c>
      <c r="O120" s="135">
        <v>8.1733579999999998E-5</v>
      </c>
      <c r="P120" s="134">
        <v>0</v>
      </c>
      <c r="Q120" s="135">
        <v>0</v>
      </c>
      <c r="R120" s="135">
        <v>0</v>
      </c>
      <c r="S120" s="135">
        <v>0</v>
      </c>
      <c r="T120" s="136">
        <v>0</v>
      </c>
      <c r="U120" s="135">
        <v>3.3403044999999999E-2</v>
      </c>
      <c r="V120" s="135">
        <v>0.12432332199999997</v>
      </c>
      <c r="W120" s="135">
        <v>0.14969912400000004</v>
      </c>
      <c r="X120" s="135">
        <v>0.17307139199999999</v>
      </c>
      <c r="Y120" s="136">
        <v>0.19787630900000003</v>
      </c>
    </row>
    <row r="121" spans="1:25">
      <c r="A121" s="125" t="s">
        <v>46</v>
      </c>
      <c r="B121" t="s">
        <v>75</v>
      </c>
      <c r="C121" s="186" t="s">
        <v>113</v>
      </c>
      <c r="D121" t="s">
        <v>195</v>
      </c>
      <c r="E121" t="s">
        <v>376</v>
      </c>
      <c r="F121" s="134">
        <v>3.1289657000000015</v>
      </c>
      <c r="G121" s="135">
        <v>6.9486665069999995</v>
      </c>
      <c r="H121" s="135">
        <v>12.720073109000008</v>
      </c>
      <c r="I121" s="135">
        <v>27.915856321000007</v>
      </c>
      <c r="J121" s="136">
        <v>33.06340180600003</v>
      </c>
      <c r="K121" s="135">
        <v>0</v>
      </c>
      <c r="L121" s="135">
        <v>0</v>
      </c>
      <c r="M121" s="135">
        <v>2.276348000000001E-6</v>
      </c>
      <c r="N121" s="135">
        <v>1.8544990000000009E-5</v>
      </c>
      <c r="O121" s="135">
        <v>2.9229999999999983E-5</v>
      </c>
      <c r="P121" s="134">
        <v>0</v>
      </c>
      <c r="Q121" s="135">
        <v>0</v>
      </c>
      <c r="R121" s="135">
        <v>0</v>
      </c>
      <c r="S121" s="135">
        <v>0</v>
      </c>
      <c r="T121" s="136">
        <v>0</v>
      </c>
      <c r="U121" s="135">
        <v>8.0071639E-2</v>
      </c>
      <c r="V121" s="135">
        <v>0.416118445</v>
      </c>
      <c r="W121" s="135">
        <v>0.59017390500000078</v>
      </c>
      <c r="X121" s="135">
        <v>0.73390728999999988</v>
      </c>
      <c r="Y121" s="136">
        <v>0.85343872000000043</v>
      </c>
    </row>
    <row r="122" spans="1:25">
      <c r="A122" s="125" t="s">
        <v>46</v>
      </c>
      <c r="B122" t="s">
        <v>75</v>
      </c>
      <c r="C122" s="186" t="s">
        <v>113</v>
      </c>
      <c r="D122" t="s">
        <v>197</v>
      </c>
      <c r="E122" t="s">
        <v>376</v>
      </c>
      <c r="F122" s="134">
        <v>0.75974708599999996</v>
      </c>
      <c r="G122" s="135">
        <v>0.45401629100000002</v>
      </c>
      <c r="H122" s="135">
        <v>0.32512474800000002</v>
      </c>
      <c r="I122" s="135">
        <v>0.71647967099999987</v>
      </c>
      <c r="J122" s="136">
        <v>0.92696208899999999</v>
      </c>
      <c r="K122" s="135">
        <v>0</v>
      </c>
      <c r="L122" s="135">
        <v>0</v>
      </c>
      <c r="M122" s="135">
        <v>3.0417699999999998E-4</v>
      </c>
      <c r="N122" s="135">
        <v>2.7261700000000001E-4</v>
      </c>
      <c r="O122" s="135">
        <v>2.5689799999999998E-4</v>
      </c>
      <c r="P122" s="134">
        <v>0</v>
      </c>
      <c r="Q122" s="135">
        <v>0</v>
      </c>
      <c r="R122" s="135">
        <v>0</v>
      </c>
      <c r="S122" s="135">
        <v>0</v>
      </c>
      <c r="T122" s="136">
        <v>0</v>
      </c>
      <c r="U122" s="135">
        <v>3.2344204000000001E-2</v>
      </c>
      <c r="V122" s="135">
        <v>0.18702687800000001</v>
      </c>
      <c r="W122" s="135">
        <v>0.275610087</v>
      </c>
      <c r="X122" s="135">
        <v>0.347831681</v>
      </c>
      <c r="Y122" s="136">
        <v>0.40578006700000002</v>
      </c>
    </row>
    <row r="123" spans="1:25">
      <c r="A123" s="125" t="s">
        <v>46</v>
      </c>
      <c r="B123" t="s">
        <v>75</v>
      </c>
      <c r="C123" s="186" t="s">
        <v>113</v>
      </c>
      <c r="D123" t="s">
        <v>199</v>
      </c>
      <c r="E123" t="s">
        <v>376</v>
      </c>
      <c r="F123" s="134">
        <v>0.87509193499999993</v>
      </c>
      <c r="G123" s="135">
        <v>4.565302237</v>
      </c>
      <c r="H123" s="135">
        <v>8.9022305899999985</v>
      </c>
      <c r="I123" s="135">
        <v>18.434693900000003</v>
      </c>
      <c r="J123" s="136">
        <v>21.384448887999994</v>
      </c>
      <c r="K123" s="135">
        <v>0</v>
      </c>
      <c r="L123" s="135">
        <v>0</v>
      </c>
      <c r="M123" s="135">
        <v>1.5368040000000001E-4</v>
      </c>
      <c r="N123" s="135">
        <v>1.3662280000000001E-4</v>
      </c>
      <c r="O123" s="135">
        <v>1.4081780000000006E-4</v>
      </c>
      <c r="P123" s="134">
        <v>0</v>
      </c>
      <c r="Q123" s="135">
        <v>0</v>
      </c>
      <c r="R123" s="135">
        <v>0</v>
      </c>
      <c r="S123" s="135">
        <v>0</v>
      </c>
      <c r="T123" s="136">
        <v>0</v>
      </c>
      <c r="U123" s="135">
        <v>5.2549730000000005E-3</v>
      </c>
      <c r="V123" s="135">
        <v>1.1809774999999996E-2</v>
      </c>
      <c r="W123" s="135">
        <v>8.4409639999999987E-3</v>
      </c>
      <c r="X123" s="135">
        <v>6.4332969999999984E-3</v>
      </c>
      <c r="Y123" s="136">
        <v>6.386419E-3</v>
      </c>
    </row>
    <row r="124" spans="1:25">
      <c r="A124" s="125" t="s">
        <v>46</v>
      </c>
      <c r="B124" t="s">
        <v>75</v>
      </c>
      <c r="C124" s="186" t="s">
        <v>113</v>
      </c>
      <c r="D124" t="s">
        <v>201</v>
      </c>
      <c r="E124" t="s">
        <v>376</v>
      </c>
      <c r="F124" s="134">
        <v>2.0079908360000003</v>
      </c>
      <c r="G124" s="135">
        <v>4.6101700260000005</v>
      </c>
      <c r="H124" s="135">
        <v>5.6470438360000008</v>
      </c>
      <c r="I124" s="135">
        <v>6.2134102679999996</v>
      </c>
      <c r="J124" s="136">
        <v>6.5538419960000001</v>
      </c>
      <c r="K124" s="135">
        <v>0</v>
      </c>
      <c r="L124" s="135">
        <v>0</v>
      </c>
      <c r="M124" s="135">
        <v>4.2547799999999999E-5</v>
      </c>
      <c r="N124" s="135">
        <v>2.8444400000000002E-5</v>
      </c>
      <c r="O124" s="135">
        <v>2.7741600000000006E-5</v>
      </c>
      <c r="P124" s="134">
        <v>0</v>
      </c>
      <c r="Q124" s="135">
        <v>0</v>
      </c>
      <c r="R124" s="135">
        <v>0</v>
      </c>
      <c r="S124" s="135">
        <v>0</v>
      </c>
      <c r="T124" s="136">
        <v>0</v>
      </c>
      <c r="U124" s="135">
        <v>3.705477E-3</v>
      </c>
      <c r="V124" s="135">
        <v>1.9112001000000003E-2</v>
      </c>
      <c r="W124" s="135">
        <v>2.7065120000000002E-2</v>
      </c>
      <c r="X124" s="135">
        <v>3.3642280999999996E-2</v>
      </c>
      <c r="Y124" s="136">
        <v>3.9105119000000001E-2</v>
      </c>
    </row>
    <row r="125" spans="1:25">
      <c r="A125" s="125" t="s">
        <v>46</v>
      </c>
      <c r="B125" t="s">
        <v>75</v>
      </c>
      <c r="C125" s="186" t="s">
        <v>113</v>
      </c>
      <c r="D125" t="s">
        <v>203</v>
      </c>
      <c r="E125" t="s">
        <v>376</v>
      </c>
      <c r="F125" s="134">
        <v>0.68438181999999992</v>
      </c>
      <c r="G125" s="135">
        <v>2.3907542720000001</v>
      </c>
      <c r="H125" s="135">
        <v>4.5736433659999998</v>
      </c>
      <c r="I125" s="135">
        <v>9.7795378589999995</v>
      </c>
      <c r="J125" s="136">
        <v>11.349786971</v>
      </c>
      <c r="K125" s="135">
        <v>0</v>
      </c>
      <c r="L125" s="135">
        <v>0</v>
      </c>
      <c r="M125" s="135">
        <v>2.0277899999999999E-4</v>
      </c>
      <c r="N125" s="135">
        <v>1.9660000000000001E-4</v>
      </c>
      <c r="O125" s="135">
        <v>1.8369999999999999E-4</v>
      </c>
      <c r="P125" s="134">
        <v>0</v>
      </c>
      <c r="Q125" s="135">
        <v>0</v>
      </c>
      <c r="R125" s="135">
        <v>0</v>
      </c>
      <c r="S125" s="135">
        <v>0</v>
      </c>
      <c r="T125" s="136">
        <v>0</v>
      </c>
      <c r="U125" s="135">
        <v>1.6013169000000001E-2</v>
      </c>
      <c r="V125" s="135">
        <v>9.2562769000000003E-2</v>
      </c>
      <c r="W125" s="135">
        <v>0.136450301</v>
      </c>
      <c r="X125" s="135">
        <v>0.17223074099999999</v>
      </c>
      <c r="Y125" s="136">
        <v>0.20092405799999999</v>
      </c>
    </row>
    <row r="126" spans="1:25">
      <c r="A126" s="125" t="s">
        <v>46</v>
      </c>
      <c r="B126" t="s">
        <v>75</v>
      </c>
      <c r="C126" s="186" t="s">
        <v>113</v>
      </c>
      <c r="D126" t="s">
        <v>205</v>
      </c>
      <c r="E126" t="s">
        <v>376</v>
      </c>
      <c r="F126" s="134">
        <v>1.4677122509999996</v>
      </c>
      <c r="G126" s="135">
        <v>1.048133126</v>
      </c>
      <c r="H126" s="135">
        <v>0.917172934</v>
      </c>
      <c r="I126" s="135">
        <v>1.7783843210000001</v>
      </c>
      <c r="J126" s="136">
        <v>2.2528944220000002</v>
      </c>
      <c r="K126" s="135">
        <v>0</v>
      </c>
      <c r="L126" s="135">
        <v>0</v>
      </c>
      <c r="M126" s="135">
        <v>7.0898800000000021E-7</v>
      </c>
      <c r="N126" s="135">
        <v>9.4523599999999933E-6</v>
      </c>
      <c r="O126" s="135">
        <v>1.6001160000000009E-5</v>
      </c>
      <c r="P126" s="134">
        <v>0</v>
      </c>
      <c r="Q126" s="135">
        <v>0</v>
      </c>
      <c r="R126" s="135">
        <v>0</v>
      </c>
      <c r="S126" s="135">
        <v>0</v>
      </c>
      <c r="T126" s="136">
        <v>0</v>
      </c>
      <c r="U126" s="135">
        <v>0.11144330200000002</v>
      </c>
      <c r="V126" s="135">
        <v>0.69010427000000019</v>
      </c>
      <c r="W126" s="135">
        <v>1.0384792170000001</v>
      </c>
      <c r="X126" s="135">
        <v>1.3208023240000006</v>
      </c>
      <c r="Y126" s="136">
        <v>1.5433989080000003</v>
      </c>
    </row>
    <row r="127" spans="1:25">
      <c r="A127" s="125" t="s">
        <v>46</v>
      </c>
      <c r="B127" t="s">
        <v>75</v>
      </c>
      <c r="C127" s="186" t="s">
        <v>113</v>
      </c>
      <c r="D127" t="s">
        <v>207</v>
      </c>
      <c r="E127" t="s">
        <v>376</v>
      </c>
      <c r="F127" s="134">
        <v>8.8342411999999995E-2</v>
      </c>
      <c r="G127" s="135">
        <v>5.7408363999999996E-2</v>
      </c>
      <c r="H127" s="135">
        <v>5.1108293000000006E-2</v>
      </c>
      <c r="I127" s="135">
        <v>0.11263939099999999</v>
      </c>
      <c r="J127" s="136">
        <v>0.158936102</v>
      </c>
      <c r="K127" s="135">
        <v>0</v>
      </c>
      <c r="L127" s="135">
        <v>0</v>
      </c>
      <c r="M127" s="135">
        <v>3.4393400000000015E-5</v>
      </c>
      <c r="N127" s="135">
        <v>3.4762999999999999E-5</v>
      </c>
      <c r="O127" s="135">
        <v>3.3167800000000005E-5</v>
      </c>
      <c r="P127" s="134">
        <v>0</v>
      </c>
      <c r="Q127" s="135">
        <v>0</v>
      </c>
      <c r="R127" s="135">
        <v>0</v>
      </c>
      <c r="S127" s="135">
        <v>0</v>
      </c>
      <c r="T127" s="136">
        <v>0</v>
      </c>
      <c r="U127" s="135">
        <v>3.8632260000000004E-3</v>
      </c>
      <c r="V127" s="135">
        <v>1.0135075E-2</v>
      </c>
      <c r="W127" s="135">
        <v>9.2179579999999983E-3</v>
      </c>
      <c r="X127" s="135">
        <v>8.9632919999999977E-3</v>
      </c>
      <c r="Y127" s="136">
        <v>9.6993249999999982E-3</v>
      </c>
    </row>
    <row r="128" spans="1:25">
      <c r="A128" s="125" t="s">
        <v>46</v>
      </c>
      <c r="B128" t="s">
        <v>75</v>
      </c>
      <c r="C128" s="186" t="s">
        <v>113</v>
      </c>
      <c r="D128" t="s">
        <v>209</v>
      </c>
      <c r="E128" t="s">
        <v>376</v>
      </c>
      <c r="F128" s="134">
        <v>4.0388793399999994</v>
      </c>
      <c r="G128" s="135">
        <v>8.7644146410000019</v>
      </c>
      <c r="H128" s="135">
        <v>12.187736726999987</v>
      </c>
      <c r="I128" s="135">
        <v>18.498995499000003</v>
      </c>
      <c r="J128" s="136">
        <v>20.913754856999994</v>
      </c>
      <c r="K128" s="135">
        <v>0</v>
      </c>
      <c r="L128" s="135">
        <v>0</v>
      </c>
      <c r="M128" s="135">
        <v>9.8516512000000045E-5</v>
      </c>
      <c r="N128" s="135">
        <v>1.2079378999999999E-4</v>
      </c>
      <c r="O128" s="135">
        <v>1.2831450000000004E-4</v>
      </c>
      <c r="P128" s="134">
        <v>0</v>
      </c>
      <c r="Q128" s="135">
        <v>0</v>
      </c>
      <c r="R128" s="135">
        <v>0</v>
      </c>
      <c r="S128" s="135">
        <v>0</v>
      </c>
      <c r="T128" s="136">
        <v>0</v>
      </c>
      <c r="U128" s="135">
        <v>2.2359087999999996E-2</v>
      </c>
      <c r="V128" s="135">
        <v>7.7405454999999984E-2</v>
      </c>
      <c r="W128" s="135">
        <v>8.8791643999999989E-2</v>
      </c>
      <c r="X128" s="135">
        <v>0.10014980899999999</v>
      </c>
      <c r="Y128" s="136">
        <v>0.11369602300000003</v>
      </c>
    </row>
    <row r="129" spans="1:25">
      <c r="A129" s="125" t="s">
        <v>46</v>
      </c>
      <c r="B129" t="s">
        <v>75</v>
      </c>
      <c r="C129" s="186" t="s">
        <v>113</v>
      </c>
      <c r="D129" t="s">
        <v>211</v>
      </c>
      <c r="E129" t="s">
        <v>376</v>
      </c>
      <c r="F129" s="134">
        <v>15.830542483000029</v>
      </c>
      <c r="G129" s="135">
        <v>39.214286541999968</v>
      </c>
      <c r="H129" s="135">
        <v>56.52026534499997</v>
      </c>
      <c r="I129" s="135">
        <v>91.92421227899996</v>
      </c>
      <c r="J129" s="136">
        <v>103.59213070300009</v>
      </c>
      <c r="K129" s="135">
        <v>0</v>
      </c>
      <c r="L129" s="135">
        <v>0</v>
      </c>
      <c r="M129" s="135">
        <v>1.4672323200000005E-4</v>
      </c>
      <c r="N129" s="135">
        <v>1.5586567999999998E-4</v>
      </c>
      <c r="O129" s="135">
        <v>1.6567402000000001E-4</v>
      </c>
      <c r="P129" s="134">
        <v>0</v>
      </c>
      <c r="Q129" s="135">
        <v>0</v>
      </c>
      <c r="R129" s="135">
        <v>0</v>
      </c>
      <c r="S129" s="135">
        <v>0</v>
      </c>
      <c r="T129" s="136">
        <v>0</v>
      </c>
      <c r="U129" s="135">
        <v>8.2914181000000017E-2</v>
      </c>
      <c r="V129" s="135">
        <v>0.39807940800000002</v>
      </c>
      <c r="W129" s="135">
        <v>0.54709191699999993</v>
      </c>
      <c r="X129" s="135">
        <v>0.67189447600000007</v>
      </c>
      <c r="Y129" s="136">
        <v>0.77878987900000007</v>
      </c>
    </row>
    <row r="130" spans="1:25">
      <c r="A130" s="125" t="s">
        <v>46</v>
      </c>
      <c r="B130" t="s">
        <v>75</v>
      </c>
      <c r="C130" s="186" t="s">
        <v>113</v>
      </c>
      <c r="D130" t="s">
        <v>213</v>
      </c>
      <c r="E130" t="s">
        <v>376</v>
      </c>
      <c r="F130" s="134">
        <v>1.8146623340000003</v>
      </c>
      <c r="G130" s="135">
        <v>6.8417370279999945</v>
      </c>
      <c r="H130" s="135">
        <v>9.619590266999996</v>
      </c>
      <c r="I130" s="135">
        <v>13.727905264999992</v>
      </c>
      <c r="J130" s="136">
        <v>14.553248891999999</v>
      </c>
      <c r="K130" s="135">
        <v>0</v>
      </c>
      <c r="L130" s="135">
        <v>0</v>
      </c>
      <c r="M130" s="135">
        <v>4.8787799999999916E-6</v>
      </c>
      <c r="N130" s="135">
        <v>9.0248080000000006E-6</v>
      </c>
      <c r="O130" s="135">
        <v>9.9422320000000054E-6</v>
      </c>
      <c r="P130" s="134">
        <v>0</v>
      </c>
      <c r="Q130" s="135">
        <v>0</v>
      </c>
      <c r="R130" s="135">
        <v>0</v>
      </c>
      <c r="S130" s="135">
        <v>0</v>
      </c>
      <c r="T130" s="136">
        <v>0</v>
      </c>
      <c r="U130" s="135">
        <v>8.6678219999999986E-3</v>
      </c>
      <c r="V130" s="135">
        <v>1.9542838000000003E-2</v>
      </c>
      <c r="W130" s="135">
        <v>1.4027775000000003E-2</v>
      </c>
      <c r="X130" s="135">
        <v>1.0737379999999998E-2</v>
      </c>
      <c r="Y130" s="136">
        <v>1.0705605E-2</v>
      </c>
    </row>
    <row r="131" spans="1:25">
      <c r="A131" s="125" t="s">
        <v>46</v>
      </c>
      <c r="B131" t="s">
        <v>75</v>
      </c>
      <c r="C131" s="186" t="s">
        <v>113</v>
      </c>
      <c r="D131" t="s">
        <v>215</v>
      </c>
      <c r="E131" t="s">
        <v>376</v>
      </c>
      <c r="F131" s="134">
        <v>2.3446576550000007</v>
      </c>
      <c r="G131" s="135">
        <v>5.353810116</v>
      </c>
      <c r="H131" s="135">
        <v>6.5561248219999992</v>
      </c>
      <c r="I131" s="135">
        <v>7.2560900470000016</v>
      </c>
      <c r="J131" s="136">
        <v>7.7080551880000003</v>
      </c>
      <c r="K131" s="135">
        <v>0</v>
      </c>
      <c r="L131" s="135">
        <v>0</v>
      </c>
      <c r="M131" s="135">
        <v>4.4972692000000009E-5</v>
      </c>
      <c r="N131" s="135">
        <v>4.8656039999999999E-5</v>
      </c>
      <c r="O131" s="135">
        <v>4.7846120000000004E-5</v>
      </c>
      <c r="P131" s="134">
        <v>0</v>
      </c>
      <c r="Q131" s="135">
        <v>0</v>
      </c>
      <c r="R131" s="135">
        <v>0</v>
      </c>
      <c r="S131" s="135">
        <v>0</v>
      </c>
      <c r="T131" s="136">
        <v>0</v>
      </c>
      <c r="U131" s="135">
        <v>2.4008380000000002E-3</v>
      </c>
      <c r="V131" s="135">
        <v>7.3007030000000004E-3</v>
      </c>
      <c r="W131" s="135">
        <v>7.6028000000000016E-3</v>
      </c>
      <c r="X131" s="135">
        <v>8.1181960000000011E-3</v>
      </c>
      <c r="Y131" s="136">
        <v>9.0589889999999982E-3</v>
      </c>
    </row>
    <row r="132" spans="1:25">
      <c r="A132" s="125" t="s">
        <v>46</v>
      </c>
      <c r="B132" t="s">
        <v>75</v>
      </c>
      <c r="C132" s="186" t="s">
        <v>113</v>
      </c>
      <c r="D132" t="s">
        <v>217</v>
      </c>
      <c r="E132" t="s">
        <v>376</v>
      </c>
      <c r="F132" s="134">
        <v>0.48397091900000011</v>
      </c>
      <c r="G132" s="135">
        <v>0.96412005999999995</v>
      </c>
      <c r="H132" s="135">
        <v>1.4721570859999999</v>
      </c>
      <c r="I132" s="135">
        <v>2.7269519599999992</v>
      </c>
      <c r="J132" s="136">
        <v>3.1849203269999995</v>
      </c>
      <c r="K132" s="135">
        <v>0</v>
      </c>
      <c r="L132" s="135">
        <v>0</v>
      </c>
      <c r="M132" s="135">
        <v>3.6050220000000003E-4</v>
      </c>
      <c r="N132" s="135">
        <v>3.3267440000000006E-4</v>
      </c>
      <c r="O132" s="135">
        <v>3.1910719999999997E-4</v>
      </c>
      <c r="P132" s="134">
        <v>0</v>
      </c>
      <c r="Q132" s="135">
        <v>0</v>
      </c>
      <c r="R132" s="135">
        <v>0</v>
      </c>
      <c r="S132" s="135">
        <v>0</v>
      </c>
      <c r="T132" s="136">
        <v>0</v>
      </c>
      <c r="U132" s="135">
        <v>8.8719599999999999E-3</v>
      </c>
      <c r="V132" s="135">
        <v>2.4162428999999999E-2</v>
      </c>
      <c r="W132" s="135">
        <v>2.2849008999999997E-2</v>
      </c>
      <c r="X132" s="135">
        <v>2.2875364000000002E-2</v>
      </c>
      <c r="Y132" s="136">
        <v>2.5000131000000005E-2</v>
      </c>
    </row>
    <row r="133" spans="1:25">
      <c r="A133" s="125" t="s">
        <v>46</v>
      </c>
      <c r="B133" t="s">
        <v>75</v>
      </c>
      <c r="C133" s="186" t="s">
        <v>113</v>
      </c>
      <c r="D133" t="s">
        <v>219</v>
      </c>
      <c r="E133" t="s">
        <v>376</v>
      </c>
      <c r="F133" s="134">
        <v>3.108465137</v>
      </c>
      <c r="G133" s="135">
        <v>12.261557100999999</v>
      </c>
      <c r="H133" s="135">
        <v>19.832411964999999</v>
      </c>
      <c r="I133" s="135">
        <v>34.66968678300001</v>
      </c>
      <c r="J133" s="136">
        <v>38.584324981999998</v>
      </c>
      <c r="K133" s="135">
        <v>0</v>
      </c>
      <c r="L133" s="135">
        <v>0</v>
      </c>
      <c r="M133" s="135">
        <v>1.1428959999999999E-4</v>
      </c>
      <c r="N133" s="135">
        <v>9.8204599999999985E-5</v>
      </c>
      <c r="O133" s="135">
        <v>1.0134199999999999E-4</v>
      </c>
      <c r="P133" s="134">
        <v>0</v>
      </c>
      <c r="Q133" s="135">
        <v>0</v>
      </c>
      <c r="R133" s="135">
        <v>0</v>
      </c>
      <c r="S133" s="135">
        <v>0</v>
      </c>
      <c r="T133" s="136">
        <v>0</v>
      </c>
      <c r="U133" s="135">
        <v>1.2760120000000002E-2</v>
      </c>
      <c r="V133" s="135">
        <v>6.6113572999999995E-2</v>
      </c>
      <c r="W133" s="135">
        <v>9.392597200000001E-2</v>
      </c>
      <c r="X133" s="135">
        <v>0.11693981999999999</v>
      </c>
      <c r="Y133" s="136">
        <v>0.13588272300000001</v>
      </c>
    </row>
    <row r="134" spans="1:25">
      <c r="A134" s="125" t="s">
        <v>46</v>
      </c>
      <c r="B134" t="s">
        <v>75</v>
      </c>
      <c r="C134" s="186" t="s">
        <v>113</v>
      </c>
      <c r="D134" t="s">
        <v>221</v>
      </c>
      <c r="E134" t="s">
        <v>376</v>
      </c>
      <c r="F134" s="134">
        <v>1.3391607979999995</v>
      </c>
      <c r="G134" s="135">
        <v>4.3223780629999986</v>
      </c>
      <c r="H134" s="135">
        <v>7.885108655999999</v>
      </c>
      <c r="I134" s="135">
        <v>14.581179734000001</v>
      </c>
      <c r="J134" s="136">
        <v>16.144058069</v>
      </c>
      <c r="K134" s="135">
        <v>0</v>
      </c>
      <c r="L134" s="135">
        <v>0</v>
      </c>
      <c r="M134" s="135">
        <v>1.7142037600000002E-4</v>
      </c>
      <c r="N134" s="135">
        <v>2.0008169999999995E-4</v>
      </c>
      <c r="O134" s="135">
        <v>1.9766727999999997E-4</v>
      </c>
      <c r="P134" s="134">
        <v>0</v>
      </c>
      <c r="Q134" s="135">
        <v>0</v>
      </c>
      <c r="R134" s="135">
        <v>0</v>
      </c>
      <c r="S134" s="135">
        <v>0</v>
      </c>
      <c r="T134" s="136">
        <v>0</v>
      </c>
      <c r="U134" s="135">
        <v>6.2341209999999996E-3</v>
      </c>
      <c r="V134" s="135">
        <v>1.4948407000000002E-2</v>
      </c>
      <c r="W134" s="135">
        <v>1.1676011E-2</v>
      </c>
      <c r="X134" s="135">
        <v>9.8452340000000013E-3</v>
      </c>
      <c r="Y134" s="136">
        <v>1.0224925000000001E-2</v>
      </c>
    </row>
    <row r="135" spans="1:25">
      <c r="A135" s="125" t="s">
        <v>46</v>
      </c>
      <c r="B135" t="s">
        <v>75</v>
      </c>
      <c r="C135" s="186" t="s">
        <v>113</v>
      </c>
      <c r="D135" t="s">
        <v>223</v>
      </c>
      <c r="E135" t="s">
        <v>376</v>
      </c>
      <c r="F135" s="134">
        <v>0.32796016929999999</v>
      </c>
      <c r="G135" s="135">
        <v>0.61784758009999963</v>
      </c>
      <c r="H135" s="135">
        <v>0.8917584312000002</v>
      </c>
      <c r="I135" s="135">
        <v>1.4553579399999992</v>
      </c>
      <c r="J135" s="136">
        <v>1.7950738369999999</v>
      </c>
      <c r="K135" s="135">
        <v>0</v>
      </c>
      <c r="L135" s="135">
        <v>0</v>
      </c>
      <c r="M135" s="135">
        <v>6.865800000000001E-7</v>
      </c>
      <c r="N135" s="135">
        <v>6.3923999999999989E-7</v>
      </c>
      <c r="O135" s="135">
        <v>1.6537199999999992E-6</v>
      </c>
      <c r="P135" s="134">
        <v>0</v>
      </c>
      <c r="Q135" s="135">
        <v>0</v>
      </c>
      <c r="R135" s="135">
        <v>0</v>
      </c>
      <c r="S135" s="135">
        <v>0</v>
      </c>
      <c r="T135" s="136">
        <v>0</v>
      </c>
      <c r="U135" s="135">
        <v>4.9200069999999988E-3</v>
      </c>
      <c r="V135" s="135">
        <v>1.3538932000000002E-2</v>
      </c>
      <c r="W135" s="135">
        <v>1.3001811999999998E-2</v>
      </c>
      <c r="X135" s="135">
        <v>1.3173090999999996E-2</v>
      </c>
      <c r="Y135" s="136">
        <v>1.4425170999999997E-2</v>
      </c>
    </row>
    <row r="136" spans="1:25">
      <c r="A136" s="125" t="s">
        <v>46</v>
      </c>
      <c r="B136" t="s">
        <v>75</v>
      </c>
      <c r="C136" s="186" t="s">
        <v>115</v>
      </c>
      <c r="D136" t="s">
        <v>156</v>
      </c>
      <c r="E136" t="s">
        <v>376</v>
      </c>
      <c r="F136" s="134">
        <v>0.49307373900000007</v>
      </c>
      <c r="G136" s="135">
        <v>1.2586019530000001</v>
      </c>
      <c r="H136" s="135">
        <v>1.8875208359999998</v>
      </c>
      <c r="I136" s="135">
        <v>3.2021262499999992</v>
      </c>
      <c r="J136" s="136">
        <v>4.1597428839999999</v>
      </c>
      <c r="K136" s="135">
        <v>0</v>
      </c>
      <c r="L136" s="135">
        <v>0</v>
      </c>
      <c r="M136" s="135">
        <v>0</v>
      </c>
      <c r="N136" s="135">
        <v>0</v>
      </c>
      <c r="O136" s="135">
        <v>0</v>
      </c>
      <c r="P136" s="134">
        <v>0</v>
      </c>
      <c r="Q136" s="135">
        <v>0</v>
      </c>
      <c r="R136" s="135">
        <v>0</v>
      </c>
      <c r="S136" s="135">
        <v>0</v>
      </c>
      <c r="T136" s="136">
        <v>0</v>
      </c>
      <c r="U136" s="135">
        <v>0.41838962899999999</v>
      </c>
      <c r="V136" s="135">
        <v>2.7252446589999999</v>
      </c>
      <c r="W136" s="135">
        <v>4.1613943999999998</v>
      </c>
      <c r="X136" s="135">
        <v>5.3206475400000004</v>
      </c>
      <c r="Y136" s="136">
        <v>6.224522866</v>
      </c>
    </row>
    <row r="137" spans="1:25">
      <c r="A137" s="125" t="s">
        <v>46</v>
      </c>
      <c r="B137" t="s">
        <v>75</v>
      </c>
      <c r="C137" s="186" t="s">
        <v>160</v>
      </c>
      <c r="D137" t="s">
        <v>158</v>
      </c>
      <c r="E137" t="s">
        <v>376</v>
      </c>
      <c r="F137" s="134">
        <v>7.0975630060000003E-2</v>
      </c>
      <c r="G137" s="135">
        <v>0.22153164633</v>
      </c>
      <c r="H137" s="135">
        <v>0.33851037300000009</v>
      </c>
      <c r="I137" s="135">
        <v>0.53648322199999998</v>
      </c>
      <c r="J137" s="136">
        <v>0.57836342800000007</v>
      </c>
      <c r="K137" s="135">
        <v>0</v>
      </c>
      <c r="L137" s="135">
        <v>0</v>
      </c>
      <c r="M137" s="135">
        <v>0</v>
      </c>
      <c r="N137" s="135">
        <v>0</v>
      </c>
      <c r="O137" s="135">
        <v>0</v>
      </c>
      <c r="P137" s="134">
        <v>0</v>
      </c>
      <c r="Q137" s="135">
        <v>0</v>
      </c>
      <c r="R137" s="135">
        <v>0</v>
      </c>
      <c r="S137" s="135">
        <v>0</v>
      </c>
      <c r="T137" s="136">
        <v>0</v>
      </c>
      <c r="U137" s="135">
        <v>2.3692549999999998E-3</v>
      </c>
      <c r="V137" s="135">
        <v>5.3251699999999997E-3</v>
      </c>
      <c r="W137" s="135">
        <v>3.815836E-3</v>
      </c>
      <c r="X137" s="135">
        <v>2.9156490000000002E-3</v>
      </c>
      <c r="Y137" s="136">
        <v>2.9017560000000001E-3</v>
      </c>
    </row>
    <row r="138" spans="1:25">
      <c r="A138" s="125" t="s">
        <v>46</v>
      </c>
      <c r="B138" t="s">
        <v>75</v>
      </c>
      <c r="C138" s="186" t="s">
        <v>227</v>
      </c>
      <c r="D138" t="s">
        <v>225</v>
      </c>
      <c r="E138" t="s">
        <v>376</v>
      </c>
      <c r="F138" s="134">
        <v>5.7359002000000006E-2</v>
      </c>
      <c r="G138" s="135">
        <v>0.19146829299999998</v>
      </c>
      <c r="H138" s="135">
        <v>0.40068362400000002</v>
      </c>
      <c r="I138" s="135">
        <v>0.86743556200000005</v>
      </c>
      <c r="J138" s="136">
        <v>1.1057324710000003</v>
      </c>
      <c r="K138" s="135">
        <v>0</v>
      </c>
      <c r="L138" s="135">
        <v>0</v>
      </c>
      <c r="M138" s="135">
        <v>0</v>
      </c>
      <c r="N138" s="135">
        <v>0</v>
      </c>
      <c r="O138" s="135">
        <v>0</v>
      </c>
      <c r="P138" s="134">
        <v>0</v>
      </c>
      <c r="Q138" s="135">
        <v>1.78042E-4</v>
      </c>
      <c r="R138" s="135">
        <v>1.6966299999999999E-4</v>
      </c>
      <c r="S138" s="135">
        <v>1.8918E-4</v>
      </c>
      <c r="T138" s="136">
        <v>1.7979999999999998E-4</v>
      </c>
      <c r="U138" s="135">
        <v>6.023473E-2</v>
      </c>
      <c r="V138" s="135">
        <v>0.40340362699999999</v>
      </c>
      <c r="W138" s="135">
        <v>0.62146310900000001</v>
      </c>
      <c r="X138" s="135">
        <v>0.79786897000000001</v>
      </c>
      <c r="Y138" s="136">
        <v>0.93531926200000004</v>
      </c>
    </row>
    <row r="139" spans="1:25">
      <c r="A139" s="125" t="s">
        <v>46</v>
      </c>
      <c r="B139" t="s">
        <v>75</v>
      </c>
      <c r="C139" s="186" t="s">
        <v>227</v>
      </c>
      <c r="D139" t="s">
        <v>228</v>
      </c>
      <c r="E139" t="s">
        <v>376</v>
      </c>
      <c r="F139" s="134">
        <v>5.72219E-4</v>
      </c>
      <c r="G139" s="135">
        <v>1.2605910000000001E-3</v>
      </c>
      <c r="H139" s="135">
        <v>2.9352190000000002E-3</v>
      </c>
      <c r="I139" s="135">
        <v>7.5148109999999997E-3</v>
      </c>
      <c r="J139" s="136">
        <v>1.3307109000000001E-2</v>
      </c>
      <c r="K139" s="135">
        <v>0</v>
      </c>
      <c r="L139" s="135">
        <v>0</v>
      </c>
      <c r="M139" s="135">
        <v>0</v>
      </c>
      <c r="N139" s="135">
        <v>0</v>
      </c>
      <c r="O139" s="135">
        <v>0</v>
      </c>
      <c r="P139" s="134">
        <v>0</v>
      </c>
      <c r="Q139" s="135">
        <v>2.5640000000000002E-5</v>
      </c>
      <c r="R139" s="135">
        <v>2.5640000000000002E-5</v>
      </c>
      <c r="S139" s="135">
        <v>3.2809999999999999E-5</v>
      </c>
      <c r="T139" s="136">
        <v>3.2564999999999997E-5</v>
      </c>
      <c r="U139" s="135">
        <v>5.5866991999999997E-2</v>
      </c>
      <c r="V139" s="135">
        <v>0.37267358499999997</v>
      </c>
      <c r="W139" s="135">
        <v>0.57194815099999996</v>
      </c>
      <c r="X139" s="135">
        <v>0.731689268</v>
      </c>
      <c r="Y139" s="136">
        <v>0.85490467400000003</v>
      </c>
    </row>
    <row r="140" spans="1:25">
      <c r="A140" s="125" t="s">
        <v>46</v>
      </c>
      <c r="B140" t="s">
        <v>75</v>
      </c>
      <c r="C140" s="186" t="s">
        <v>227</v>
      </c>
      <c r="D140" t="s">
        <v>230</v>
      </c>
      <c r="E140" t="s">
        <v>376</v>
      </c>
      <c r="F140" s="134">
        <v>0.50179828900000001</v>
      </c>
      <c r="G140" s="135">
        <v>1.4527329419999999</v>
      </c>
      <c r="H140" s="135">
        <v>3.3012739139999998</v>
      </c>
      <c r="I140" s="135">
        <v>5.5879118009999988</v>
      </c>
      <c r="J140" s="136">
        <v>7.1716034690000008</v>
      </c>
      <c r="K140" s="135">
        <v>0</v>
      </c>
      <c r="L140" s="135">
        <v>0</v>
      </c>
      <c r="M140" s="135">
        <v>0</v>
      </c>
      <c r="N140" s="135">
        <v>0</v>
      </c>
      <c r="O140" s="135">
        <v>0</v>
      </c>
      <c r="P140" s="134">
        <v>0</v>
      </c>
      <c r="Q140" s="135">
        <v>9.3344999999999995E-5</v>
      </c>
      <c r="R140" s="135">
        <v>9.0099999999999995E-5</v>
      </c>
      <c r="S140" s="135">
        <v>1.184E-4</v>
      </c>
      <c r="T140" s="136">
        <v>1.1400000000000001E-4</v>
      </c>
      <c r="U140" s="135">
        <v>1.702408E-2</v>
      </c>
      <c r="V140" s="135">
        <v>0.113909814</v>
      </c>
      <c r="W140" s="135">
        <v>0.17530764099999999</v>
      </c>
      <c r="X140" s="135">
        <v>0.22484570700000001</v>
      </c>
      <c r="Y140" s="136">
        <v>0.26334237199999999</v>
      </c>
    </row>
    <row r="141" spans="1:25">
      <c r="A141" s="125" t="s">
        <v>46</v>
      </c>
      <c r="B141" t="s">
        <v>75</v>
      </c>
      <c r="C141" s="186" t="s">
        <v>227</v>
      </c>
      <c r="D141" t="s">
        <v>232</v>
      </c>
      <c r="E141" t="s">
        <v>376</v>
      </c>
      <c r="F141" s="134">
        <v>0.24615701099999998</v>
      </c>
      <c r="G141" s="135">
        <v>0.77053280299999993</v>
      </c>
      <c r="H141" s="135">
        <v>1.224546296</v>
      </c>
      <c r="I141" s="135">
        <v>2.2108026089999999</v>
      </c>
      <c r="J141" s="136">
        <v>2.6064790150000001</v>
      </c>
      <c r="K141" s="135">
        <v>0</v>
      </c>
      <c r="L141" s="135">
        <v>0</v>
      </c>
      <c r="M141" s="135">
        <v>0</v>
      </c>
      <c r="N141" s="135">
        <v>0</v>
      </c>
      <c r="O141" s="135">
        <v>0</v>
      </c>
      <c r="P141" s="134">
        <v>0</v>
      </c>
      <c r="Q141" s="135">
        <v>4.5580000000000001E-5</v>
      </c>
      <c r="R141" s="135">
        <v>4.3970000000000001E-5</v>
      </c>
      <c r="S141" s="135">
        <v>5.6900000000000001E-5</v>
      </c>
      <c r="T141" s="136">
        <v>5.4410000000000003E-5</v>
      </c>
      <c r="U141" s="135">
        <v>1.6423498000000002E-2</v>
      </c>
      <c r="V141" s="135">
        <v>0.10982370700000001</v>
      </c>
      <c r="W141" s="135">
        <v>0.16894488399999999</v>
      </c>
      <c r="X141" s="135">
        <v>0.21660333600000001</v>
      </c>
      <c r="Y141" s="136">
        <v>0.25357175799999998</v>
      </c>
    </row>
    <row r="142" spans="1:25">
      <c r="A142" s="125" t="s">
        <v>46</v>
      </c>
      <c r="B142" t="s">
        <v>75</v>
      </c>
      <c r="C142" s="186" t="s">
        <v>301</v>
      </c>
      <c r="D142" t="s">
        <v>299</v>
      </c>
      <c r="E142" t="s">
        <v>376</v>
      </c>
      <c r="F142" s="134">
        <v>0.60855960500000006</v>
      </c>
      <c r="G142" s="135">
        <v>2.5145282120000005</v>
      </c>
      <c r="H142" s="135">
        <v>4.547147893</v>
      </c>
      <c r="I142" s="135">
        <v>6.9809407570000008</v>
      </c>
      <c r="J142" s="136">
        <v>8.9673214500000018</v>
      </c>
      <c r="K142" s="135">
        <v>0</v>
      </c>
      <c r="L142" s="135">
        <v>0</v>
      </c>
      <c r="M142" s="135">
        <v>0</v>
      </c>
      <c r="N142" s="135">
        <v>0</v>
      </c>
      <c r="O142" s="135">
        <v>0</v>
      </c>
      <c r="P142" s="134">
        <v>0</v>
      </c>
      <c r="Q142" s="135">
        <v>0</v>
      </c>
      <c r="R142" s="135">
        <v>0</v>
      </c>
      <c r="S142" s="135">
        <v>0</v>
      </c>
      <c r="T142" s="136">
        <v>0</v>
      </c>
      <c r="U142" s="135">
        <v>3.3942194000000002E-2</v>
      </c>
      <c r="V142" s="135">
        <v>0.18196363500000001</v>
      </c>
      <c r="W142" s="135">
        <v>0.26249587200000002</v>
      </c>
      <c r="X142" s="135">
        <v>0.33017721999999999</v>
      </c>
      <c r="Y142" s="136">
        <v>0.38701995100000003</v>
      </c>
    </row>
    <row r="143" spans="1:25">
      <c r="A143" s="125" t="s">
        <v>46</v>
      </c>
      <c r="B143" t="s">
        <v>75</v>
      </c>
      <c r="C143" s="186" t="s">
        <v>301</v>
      </c>
      <c r="D143" t="s">
        <v>302</v>
      </c>
      <c r="E143" t="s">
        <v>376</v>
      </c>
      <c r="F143" s="134">
        <v>0.61138447400000007</v>
      </c>
      <c r="G143" s="135">
        <v>1.8547445549999997</v>
      </c>
      <c r="H143" s="135">
        <v>3.764170415000001</v>
      </c>
      <c r="I143" s="135">
        <v>6.8196983709999994</v>
      </c>
      <c r="J143" s="136">
        <v>9.3084968589999981</v>
      </c>
      <c r="K143" s="135">
        <v>0</v>
      </c>
      <c r="L143" s="135">
        <v>0</v>
      </c>
      <c r="M143" s="135">
        <v>0</v>
      </c>
      <c r="N143" s="135">
        <v>0</v>
      </c>
      <c r="O143" s="135">
        <v>0</v>
      </c>
      <c r="P143" s="134">
        <v>0</v>
      </c>
      <c r="Q143" s="135">
        <v>0</v>
      </c>
      <c r="R143" s="135">
        <v>0</v>
      </c>
      <c r="S143" s="135">
        <v>0</v>
      </c>
      <c r="T143" s="136">
        <v>0</v>
      </c>
      <c r="U143" s="135">
        <v>3.2480170000000003E-2</v>
      </c>
      <c r="V143" s="135">
        <v>0.170455307</v>
      </c>
      <c r="W143" s="135">
        <v>0.24294342699999999</v>
      </c>
      <c r="X143" s="135">
        <v>0.302975779</v>
      </c>
      <c r="Y143" s="136">
        <v>0.35280900100000001</v>
      </c>
    </row>
    <row r="144" spans="1:25">
      <c r="A144" s="125" t="s">
        <v>46</v>
      </c>
      <c r="B144" t="s">
        <v>75</v>
      </c>
      <c r="C144" s="186" t="s">
        <v>301</v>
      </c>
      <c r="D144" t="s">
        <v>304</v>
      </c>
      <c r="E144" t="s">
        <v>376</v>
      </c>
      <c r="F144" s="134">
        <v>5.6378113000000001E-2</v>
      </c>
      <c r="G144" s="135">
        <v>0.13507570999999999</v>
      </c>
      <c r="H144" s="135">
        <v>0.23047420000000002</v>
      </c>
      <c r="I144" s="135">
        <v>0.38951021400000002</v>
      </c>
      <c r="J144" s="136">
        <v>0.51430537200000004</v>
      </c>
      <c r="K144" s="135">
        <v>0</v>
      </c>
      <c r="L144" s="135">
        <v>0</v>
      </c>
      <c r="M144" s="135">
        <v>0</v>
      </c>
      <c r="N144" s="135">
        <v>0</v>
      </c>
      <c r="O144" s="135">
        <v>0</v>
      </c>
      <c r="P144" s="134">
        <v>0</v>
      </c>
      <c r="Q144" s="135">
        <v>0</v>
      </c>
      <c r="R144" s="135">
        <v>0</v>
      </c>
      <c r="S144" s="135">
        <v>0</v>
      </c>
      <c r="T144" s="136">
        <v>0</v>
      </c>
      <c r="U144" s="135">
        <v>0.188493309</v>
      </c>
      <c r="V144" s="135">
        <v>1.250919326</v>
      </c>
      <c r="W144" s="135">
        <v>1.930247182</v>
      </c>
      <c r="X144" s="135">
        <v>2.4879064140000002</v>
      </c>
      <c r="Y144" s="136">
        <v>2.9307516329999999</v>
      </c>
    </row>
    <row r="145" spans="1:25">
      <c r="A145" s="125" t="s">
        <v>46</v>
      </c>
      <c r="B145" t="s">
        <v>75</v>
      </c>
      <c r="C145" s="186" t="s">
        <v>301</v>
      </c>
      <c r="D145" t="s">
        <v>306</v>
      </c>
      <c r="E145" t="s">
        <v>376</v>
      </c>
      <c r="F145" s="134">
        <v>0.46551365</v>
      </c>
      <c r="G145" s="135">
        <v>1.3362884209999999</v>
      </c>
      <c r="H145" s="135">
        <v>2.7322322580000002</v>
      </c>
      <c r="I145" s="135">
        <v>5.0832910400000006</v>
      </c>
      <c r="J145" s="136">
        <v>6.9370739349999999</v>
      </c>
      <c r="K145" s="135">
        <v>0</v>
      </c>
      <c r="L145" s="135">
        <v>0</v>
      </c>
      <c r="M145" s="135">
        <v>0</v>
      </c>
      <c r="N145" s="135">
        <v>0</v>
      </c>
      <c r="O145" s="135">
        <v>0</v>
      </c>
      <c r="P145" s="134">
        <v>0</v>
      </c>
      <c r="Q145" s="135">
        <v>0</v>
      </c>
      <c r="R145" s="135">
        <v>0</v>
      </c>
      <c r="S145" s="135">
        <v>0</v>
      </c>
      <c r="T145" s="136">
        <v>0</v>
      </c>
      <c r="U145" s="135">
        <v>2.8678069E-2</v>
      </c>
      <c r="V145" s="135">
        <v>6.7461052999999993E-2</v>
      </c>
      <c r="W145" s="135">
        <v>5.1963230999999999E-2</v>
      </c>
      <c r="X145" s="135">
        <v>4.3116599999999998E-2</v>
      </c>
      <c r="Y145" s="136">
        <v>4.4251863000000002E-2</v>
      </c>
    </row>
    <row r="146" spans="1:25">
      <c r="A146" s="125" t="s">
        <v>46</v>
      </c>
      <c r="B146" t="s">
        <v>75</v>
      </c>
      <c r="C146" s="186" t="s">
        <v>301</v>
      </c>
      <c r="D146" t="s">
        <v>308</v>
      </c>
      <c r="E146" t="s">
        <v>376</v>
      </c>
      <c r="F146" s="134">
        <v>1.213875713</v>
      </c>
      <c r="G146" s="135">
        <v>3.3858391789999995</v>
      </c>
      <c r="H146" s="135">
        <v>7.0045989950000003</v>
      </c>
      <c r="I146" s="135">
        <v>12.634489554999998</v>
      </c>
      <c r="J146" s="136">
        <v>16.693736669</v>
      </c>
      <c r="K146" s="135">
        <v>0</v>
      </c>
      <c r="L146" s="135">
        <v>0</v>
      </c>
      <c r="M146" s="135">
        <v>0</v>
      </c>
      <c r="N146" s="135">
        <v>0</v>
      </c>
      <c r="O146" s="135">
        <v>0</v>
      </c>
      <c r="P146" s="134">
        <v>0</v>
      </c>
      <c r="Q146" s="135">
        <v>0</v>
      </c>
      <c r="R146" s="135">
        <v>0</v>
      </c>
      <c r="S146" s="135">
        <v>0</v>
      </c>
      <c r="T146" s="136">
        <v>0</v>
      </c>
      <c r="U146" s="135">
        <v>0.34867082499999996</v>
      </c>
      <c r="V146" s="135">
        <v>2.2510166550000004</v>
      </c>
      <c r="W146" s="135">
        <v>3.4185380169999999</v>
      </c>
      <c r="X146" s="135">
        <v>4.3517817870000002</v>
      </c>
      <c r="Y146" s="136">
        <v>5.071654455</v>
      </c>
    </row>
    <row r="147" spans="1:25">
      <c r="A147" s="125" t="s">
        <v>46</v>
      </c>
      <c r="B147" t="s">
        <v>75</v>
      </c>
      <c r="C147" s="186" t="s">
        <v>301</v>
      </c>
      <c r="D147" t="s">
        <v>310</v>
      </c>
      <c r="E147" t="s">
        <v>376</v>
      </c>
      <c r="F147" s="134">
        <v>1.6033612420000001</v>
      </c>
      <c r="G147" s="135">
        <v>4.6239915589999985</v>
      </c>
      <c r="H147" s="135">
        <v>10.193812854000001</v>
      </c>
      <c r="I147" s="135">
        <v>18.87946462799999</v>
      </c>
      <c r="J147" s="136">
        <v>25.475284061999997</v>
      </c>
      <c r="K147" s="135">
        <v>0</v>
      </c>
      <c r="L147" s="135">
        <v>0</v>
      </c>
      <c r="M147" s="135">
        <v>0</v>
      </c>
      <c r="N147" s="135">
        <v>0</v>
      </c>
      <c r="O147" s="135">
        <v>0</v>
      </c>
      <c r="P147" s="134">
        <v>0</v>
      </c>
      <c r="Q147" s="135">
        <v>0</v>
      </c>
      <c r="R147" s="135">
        <v>0</v>
      </c>
      <c r="S147" s="135">
        <v>0</v>
      </c>
      <c r="T147" s="136">
        <v>0</v>
      </c>
      <c r="U147" s="135">
        <v>0.108714214</v>
      </c>
      <c r="V147" s="135">
        <v>0.642556609</v>
      </c>
      <c r="W147" s="135">
        <v>0.95054298199999998</v>
      </c>
      <c r="X147" s="135">
        <v>1.1987728850000001</v>
      </c>
      <c r="Y147" s="136">
        <v>1.3943315000000001</v>
      </c>
    </row>
    <row r="148" spans="1:25">
      <c r="A148" s="125" t="s">
        <v>46</v>
      </c>
      <c r="B148" t="s">
        <v>75</v>
      </c>
      <c r="C148" s="186" t="s">
        <v>301</v>
      </c>
      <c r="D148" t="s">
        <v>312</v>
      </c>
      <c r="E148" t="s">
        <v>376</v>
      </c>
      <c r="F148" s="134">
        <v>0.15059820700000001</v>
      </c>
      <c r="G148" s="135">
        <v>0.44319477299999999</v>
      </c>
      <c r="H148" s="135">
        <v>1.0030906099999999</v>
      </c>
      <c r="I148" s="135">
        <v>1.9634370240000001</v>
      </c>
      <c r="J148" s="136">
        <v>2.7488853299999993</v>
      </c>
      <c r="K148" s="135">
        <v>0</v>
      </c>
      <c r="L148" s="135">
        <v>0</v>
      </c>
      <c r="M148" s="135">
        <v>0</v>
      </c>
      <c r="N148" s="135">
        <v>0</v>
      </c>
      <c r="O148" s="135">
        <v>0</v>
      </c>
      <c r="P148" s="134">
        <v>0</v>
      </c>
      <c r="Q148" s="135">
        <v>0</v>
      </c>
      <c r="R148" s="135">
        <v>0</v>
      </c>
      <c r="S148" s="135">
        <v>0</v>
      </c>
      <c r="T148" s="136">
        <v>0</v>
      </c>
      <c r="U148" s="135">
        <v>0.120658078</v>
      </c>
      <c r="V148" s="135">
        <v>0.80112629199999996</v>
      </c>
      <c r="W148" s="135">
        <v>1.2308570780000001</v>
      </c>
      <c r="X148" s="135">
        <v>1.577885743</v>
      </c>
      <c r="Y148" s="136">
        <v>1.8478759039999999</v>
      </c>
    </row>
    <row r="149" spans="1:25">
      <c r="A149" s="125" t="s">
        <v>46</v>
      </c>
      <c r="B149" t="s">
        <v>75</v>
      </c>
      <c r="C149" s="186" t="s">
        <v>117</v>
      </c>
      <c r="D149" t="s">
        <v>161</v>
      </c>
      <c r="E149" t="s">
        <v>376</v>
      </c>
      <c r="F149" s="134">
        <v>1.1417624819000001</v>
      </c>
      <c r="G149" s="135">
        <v>3.6829499730000008</v>
      </c>
      <c r="H149" s="135">
        <v>6.5195729780000002</v>
      </c>
      <c r="I149" s="135">
        <v>10.408586029999999</v>
      </c>
      <c r="J149" s="136">
        <v>13.417512121000001</v>
      </c>
      <c r="K149" s="135">
        <v>0</v>
      </c>
      <c r="L149" s="135">
        <v>0</v>
      </c>
      <c r="M149" s="135">
        <v>0</v>
      </c>
      <c r="N149" s="135">
        <v>0</v>
      </c>
      <c r="O149" s="135">
        <v>0</v>
      </c>
      <c r="P149" s="134">
        <v>0</v>
      </c>
      <c r="Q149" s="135">
        <v>0</v>
      </c>
      <c r="R149" s="135">
        <v>0</v>
      </c>
      <c r="S149" s="135">
        <v>0</v>
      </c>
      <c r="T149" s="136">
        <v>0</v>
      </c>
      <c r="U149" s="135">
        <v>3.1341096999999998E-2</v>
      </c>
      <c r="V149" s="135">
        <v>0.16842958199999999</v>
      </c>
      <c r="W149" s="135">
        <v>0.24194016499999998</v>
      </c>
      <c r="X149" s="135">
        <v>0.30240312499999999</v>
      </c>
      <c r="Y149" s="136">
        <v>0.35197894599999996</v>
      </c>
    </row>
    <row r="150" spans="1:25">
      <c r="A150" s="125" t="s">
        <v>46</v>
      </c>
      <c r="B150" t="s">
        <v>75</v>
      </c>
      <c r="C150" s="186" t="s">
        <v>117</v>
      </c>
      <c r="D150" t="s">
        <v>163</v>
      </c>
      <c r="E150" t="s">
        <v>376</v>
      </c>
      <c r="F150" s="134">
        <v>5.7407999999999997E-5</v>
      </c>
      <c r="G150" s="135">
        <v>1.3723699999999999E-4</v>
      </c>
      <c r="H150" s="135">
        <v>2.37493E-4</v>
      </c>
      <c r="I150" s="135">
        <v>6.4404900000000005E-4</v>
      </c>
      <c r="J150" s="136">
        <v>1.0807379999999999E-3</v>
      </c>
      <c r="K150" s="135">
        <v>0</v>
      </c>
      <c r="L150" s="135">
        <v>0</v>
      </c>
      <c r="M150" s="135">
        <v>0</v>
      </c>
      <c r="N150" s="135">
        <v>0</v>
      </c>
      <c r="O150" s="135">
        <v>0</v>
      </c>
      <c r="P150" s="134">
        <v>0</v>
      </c>
      <c r="Q150" s="135">
        <v>0</v>
      </c>
      <c r="R150" s="135">
        <v>0</v>
      </c>
      <c r="S150" s="135">
        <v>0</v>
      </c>
      <c r="T150" s="136">
        <v>0</v>
      </c>
      <c r="U150" s="135">
        <v>4.85E-5</v>
      </c>
      <c r="V150" s="135">
        <v>3.2315000000000002E-4</v>
      </c>
      <c r="W150" s="135">
        <v>4.9539699999999996E-4</v>
      </c>
      <c r="X150" s="135">
        <v>6.3281500000000001E-4</v>
      </c>
      <c r="Y150" s="136">
        <v>7.3798500000000003E-4</v>
      </c>
    </row>
    <row r="151" spans="1:25">
      <c r="A151" s="125" t="s">
        <v>46</v>
      </c>
      <c r="B151" t="s">
        <v>75</v>
      </c>
      <c r="C151" s="186" t="s">
        <v>119</v>
      </c>
      <c r="D151" t="s">
        <v>165</v>
      </c>
      <c r="E151" t="s">
        <v>376</v>
      </c>
      <c r="F151" s="134">
        <v>1.1059787430000001</v>
      </c>
      <c r="G151" s="135">
        <v>3.1836500319999996</v>
      </c>
      <c r="H151" s="135">
        <v>7.3625393740000016</v>
      </c>
      <c r="I151" s="135">
        <v>13.816004422000002</v>
      </c>
      <c r="J151" s="136">
        <v>19.093644608999995</v>
      </c>
      <c r="K151" s="135">
        <v>0</v>
      </c>
      <c r="L151" s="135">
        <v>0</v>
      </c>
      <c r="M151" s="135">
        <v>0</v>
      </c>
      <c r="N151" s="135">
        <v>0</v>
      </c>
      <c r="O151" s="135">
        <v>0</v>
      </c>
      <c r="P151" s="134">
        <v>3.208752E-3</v>
      </c>
      <c r="Q151" s="135">
        <v>1.3153146000000001E-2</v>
      </c>
      <c r="R151" s="135">
        <v>1.5624586999999997E-2</v>
      </c>
      <c r="S151" s="135">
        <v>1.3599662E-2</v>
      </c>
      <c r="T151" s="136">
        <v>1.3341861000000002E-2</v>
      </c>
      <c r="U151" s="135">
        <v>0.58173951800000001</v>
      </c>
      <c r="V151" s="135">
        <v>3.8642126480000001</v>
      </c>
      <c r="W151" s="135">
        <v>5.9331198659999993</v>
      </c>
      <c r="X151" s="135">
        <v>7.5958305300000006</v>
      </c>
      <c r="Y151" s="136">
        <v>8.885747963</v>
      </c>
    </row>
    <row r="152" spans="1:25">
      <c r="A152" s="125" t="s">
        <v>46</v>
      </c>
      <c r="B152" t="s">
        <v>75</v>
      </c>
      <c r="C152" s="186" t="s">
        <v>119</v>
      </c>
      <c r="D152" t="s">
        <v>167</v>
      </c>
      <c r="E152" t="s">
        <v>376</v>
      </c>
      <c r="F152" s="134">
        <v>1.96281866E-2</v>
      </c>
      <c r="G152" s="135">
        <v>5.8830509000000003E-2</v>
      </c>
      <c r="H152" s="135">
        <v>0.10734694200000001</v>
      </c>
      <c r="I152" s="135">
        <v>0.23402795000000001</v>
      </c>
      <c r="J152" s="136">
        <v>0.30374819799999991</v>
      </c>
      <c r="K152" s="135">
        <v>0</v>
      </c>
      <c r="L152" s="135">
        <v>0</v>
      </c>
      <c r="M152" s="135">
        <v>0</v>
      </c>
      <c r="N152" s="135">
        <v>0</v>
      </c>
      <c r="O152" s="135">
        <v>0</v>
      </c>
      <c r="P152" s="134">
        <v>4.1853700000000002E-4</v>
      </c>
      <c r="Q152" s="135">
        <v>1.65256E-3</v>
      </c>
      <c r="R152" s="135">
        <v>1.9165359999999999E-3</v>
      </c>
      <c r="S152" s="135">
        <v>1.5869730000000002E-3</v>
      </c>
      <c r="T152" s="136">
        <v>1.497172E-3</v>
      </c>
      <c r="U152" s="135">
        <v>1.3748019E-2</v>
      </c>
      <c r="V152" s="135">
        <v>3.5188086E-2</v>
      </c>
      <c r="W152" s="135">
        <v>3.0442368000000001E-2</v>
      </c>
      <c r="X152" s="135">
        <v>2.8274703000000002E-2</v>
      </c>
      <c r="Y152" s="136">
        <v>3.0238987000000002E-2</v>
      </c>
    </row>
    <row r="153" spans="1:25">
      <c r="A153" s="125" t="s">
        <v>46</v>
      </c>
      <c r="B153" t="s">
        <v>75</v>
      </c>
      <c r="C153" s="186" t="s">
        <v>119</v>
      </c>
      <c r="D153" t="s">
        <v>169</v>
      </c>
      <c r="E153" t="s">
        <v>376</v>
      </c>
      <c r="F153" s="134">
        <v>3.1923176099999999E-2</v>
      </c>
      <c r="G153" s="135">
        <v>0.10560977199999999</v>
      </c>
      <c r="H153" s="135">
        <v>0.18217430399999995</v>
      </c>
      <c r="I153" s="135">
        <v>0.37781920689999998</v>
      </c>
      <c r="J153" s="136">
        <v>0.50506165199999997</v>
      </c>
      <c r="K153" s="135">
        <v>0</v>
      </c>
      <c r="L153" s="135">
        <v>0</v>
      </c>
      <c r="M153" s="135">
        <v>0</v>
      </c>
      <c r="N153" s="135">
        <v>0</v>
      </c>
      <c r="O153" s="135">
        <v>0</v>
      </c>
      <c r="P153" s="134">
        <v>2.8001499999999999E-4</v>
      </c>
      <c r="Q153" s="135">
        <v>1.2048E-3</v>
      </c>
      <c r="R153" s="135">
        <v>1.4174540000000001E-3</v>
      </c>
      <c r="S153" s="135">
        <v>1.1806119999999999E-3</v>
      </c>
      <c r="T153" s="136">
        <v>1.103372E-3</v>
      </c>
      <c r="U153" s="135">
        <v>1.1829750999999999E-2</v>
      </c>
      <c r="V153" s="135">
        <v>2.7029658999999998E-2</v>
      </c>
      <c r="W153" s="135">
        <v>1.9906485999999998E-2</v>
      </c>
      <c r="X153" s="135">
        <v>1.5726039000000001E-2</v>
      </c>
      <c r="Y153" s="136">
        <v>1.5866773000000001E-2</v>
      </c>
    </row>
    <row r="154" spans="1:25">
      <c r="A154" s="125" t="s">
        <v>46</v>
      </c>
      <c r="B154" t="s">
        <v>75</v>
      </c>
      <c r="C154" s="186" t="s">
        <v>119</v>
      </c>
      <c r="D154" t="s">
        <v>171</v>
      </c>
      <c r="E154" t="s">
        <v>376</v>
      </c>
      <c r="F154" s="134">
        <v>2.7007237118999998</v>
      </c>
      <c r="G154" s="135">
        <v>7.8958372159999994</v>
      </c>
      <c r="H154" s="135">
        <v>18.073700059999997</v>
      </c>
      <c r="I154" s="135">
        <v>34.6310069293</v>
      </c>
      <c r="J154" s="136">
        <v>47.683015630999996</v>
      </c>
      <c r="K154" s="135">
        <v>0</v>
      </c>
      <c r="L154" s="135">
        <v>0</v>
      </c>
      <c r="M154" s="135">
        <v>0</v>
      </c>
      <c r="N154" s="135">
        <v>0</v>
      </c>
      <c r="O154" s="135">
        <v>0</v>
      </c>
      <c r="P154" s="134">
        <v>1.8568600000000001E-4</v>
      </c>
      <c r="Q154" s="135">
        <v>8.4185E-4</v>
      </c>
      <c r="R154" s="135">
        <v>1.0029239999999999E-3</v>
      </c>
      <c r="S154" s="135">
        <v>8.4396199999999986E-4</v>
      </c>
      <c r="T154" s="136">
        <v>7.89696E-4</v>
      </c>
      <c r="U154" s="135">
        <v>1.162416E-2</v>
      </c>
      <c r="V154" s="135">
        <v>3.5381327000000004E-2</v>
      </c>
      <c r="W154" s="135">
        <v>3.6700631999999997E-2</v>
      </c>
      <c r="X154" s="135">
        <v>3.8970295000000002E-2</v>
      </c>
      <c r="Y154" s="136">
        <v>4.3416622000000002E-2</v>
      </c>
    </row>
    <row r="155" spans="1:25">
      <c r="A155" s="125" t="s">
        <v>46</v>
      </c>
      <c r="B155" t="s">
        <v>75</v>
      </c>
      <c r="C155" s="186" t="s">
        <v>119</v>
      </c>
      <c r="D155" t="s">
        <v>173</v>
      </c>
      <c r="E155" t="s">
        <v>376</v>
      </c>
      <c r="F155" s="134">
        <v>0.64772170600000012</v>
      </c>
      <c r="G155" s="135">
        <v>2.4224061340000005</v>
      </c>
      <c r="H155" s="135">
        <v>3.859389272</v>
      </c>
      <c r="I155" s="135">
        <v>5.8083878760000003</v>
      </c>
      <c r="J155" s="136">
        <v>6.8065672509999997</v>
      </c>
      <c r="K155" s="135">
        <v>0</v>
      </c>
      <c r="L155" s="135">
        <v>0</v>
      </c>
      <c r="M155" s="135">
        <v>0</v>
      </c>
      <c r="N155" s="135">
        <v>0</v>
      </c>
      <c r="O155" s="135">
        <v>0</v>
      </c>
      <c r="P155" s="134">
        <v>3.9090199999999999E-4</v>
      </c>
      <c r="Q155" s="135">
        <v>1.7129179999999999E-3</v>
      </c>
      <c r="R155" s="135">
        <v>2.0404960000000001E-3</v>
      </c>
      <c r="S155" s="135">
        <v>1.7147100000000001E-3</v>
      </c>
      <c r="T155" s="136">
        <v>1.6120240000000001E-3</v>
      </c>
      <c r="U155" s="135">
        <v>4.6847093999999999E-2</v>
      </c>
      <c r="V155" s="135">
        <v>0.24251087700000001</v>
      </c>
      <c r="W155" s="135">
        <v>0.34174112499999998</v>
      </c>
      <c r="X155" s="135">
        <v>0.422815418</v>
      </c>
      <c r="Y155" s="136">
        <v>0.48947031499999999</v>
      </c>
    </row>
    <row r="156" spans="1:25">
      <c r="A156" s="125" t="s">
        <v>46</v>
      </c>
      <c r="B156" t="s">
        <v>75</v>
      </c>
      <c r="C156" s="186" t="s">
        <v>119</v>
      </c>
      <c r="D156" t="s">
        <v>175</v>
      </c>
      <c r="E156" t="s">
        <v>376</v>
      </c>
      <c r="F156" s="134">
        <v>0.84892604849999986</v>
      </c>
      <c r="G156" s="135">
        <v>2.6421411720000001</v>
      </c>
      <c r="H156" s="135">
        <v>5.5706037930000001</v>
      </c>
      <c r="I156" s="135">
        <v>9.6875104149000002</v>
      </c>
      <c r="J156" s="136">
        <v>12.487294410999999</v>
      </c>
      <c r="K156" s="135">
        <v>0</v>
      </c>
      <c r="L156" s="135">
        <v>0</v>
      </c>
      <c r="M156" s="135">
        <v>0</v>
      </c>
      <c r="N156" s="135">
        <v>0</v>
      </c>
      <c r="O156" s="135">
        <v>0</v>
      </c>
      <c r="P156" s="134">
        <v>4.9708900000000004E-4</v>
      </c>
      <c r="Q156" s="135">
        <v>2.0668800000000001E-3</v>
      </c>
      <c r="R156" s="135">
        <v>2.4315340000000004E-3</v>
      </c>
      <c r="S156" s="135">
        <v>2.0242369999999999E-3</v>
      </c>
      <c r="T156" s="136">
        <v>1.903098E-3</v>
      </c>
      <c r="U156" s="135">
        <v>7.2764071E-2</v>
      </c>
      <c r="V156" s="135">
        <v>0.410947652</v>
      </c>
      <c r="W156" s="135">
        <v>0.60128329400000002</v>
      </c>
      <c r="X156" s="135">
        <v>0.75786743600000006</v>
      </c>
      <c r="Y156" s="136">
        <v>0.884846617</v>
      </c>
    </row>
    <row r="157" spans="1:25">
      <c r="A157" s="125" t="s">
        <v>46</v>
      </c>
      <c r="B157" t="s">
        <v>75</v>
      </c>
      <c r="C157" s="186" t="s">
        <v>119</v>
      </c>
      <c r="D157" t="s">
        <v>177</v>
      </c>
      <c r="E157" t="s">
        <v>376</v>
      </c>
      <c r="F157" s="134">
        <v>0.99048025869999978</v>
      </c>
      <c r="G157" s="135">
        <v>2.9195968619999997</v>
      </c>
      <c r="H157" s="135">
        <v>6.6212809830000001</v>
      </c>
      <c r="I157" s="135">
        <v>13.089682575800001</v>
      </c>
      <c r="J157" s="136">
        <v>18.301388074000002</v>
      </c>
      <c r="K157" s="135">
        <v>0</v>
      </c>
      <c r="L157" s="135">
        <v>0</v>
      </c>
      <c r="M157" s="135">
        <v>0</v>
      </c>
      <c r="N157" s="135">
        <v>0</v>
      </c>
      <c r="O157" s="135">
        <v>0</v>
      </c>
      <c r="P157" s="134">
        <v>3.9937200000000005E-4</v>
      </c>
      <c r="Q157" s="135">
        <v>1.9532159999999998E-3</v>
      </c>
      <c r="R157" s="135">
        <v>2.4163479999999996E-3</v>
      </c>
      <c r="S157" s="135">
        <v>2.0927770000000001E-3</v>
      </c>
      <c r="T157" s="136">
        <v>1.9941939999999999E-3</v>
      </c>
      <c r="U157" s="135">
        <v>4.7104636000000005E-2</v>
      </c>
      <c r="V157" s="135">
        <v>0.270883178</v>
      </c>
      <c r="W157" s="135">
        <v>0.39841533300000004</v>
      </c>
      <c r="X157" s="135">
        <v>0.50310436999999997</v>
      </c>
      <c r="Y157" s="136">
        <v>0.58731588400000001</v>
      </c>
    </row>
    <row r="158" spans="1:25">
      <c r="A158" s="125" t="s">
        <v>46</v>
      </c>
      <c r="B158" t="s">
        <v>75</v>
      </c>
      <c r="C158" s="186" t="s">
        <v>119</v>
      </c>
      <c r="D158" t="s">
        <v>179</v>
      </c>
      <c r="E158" t="s">
        <v>376</v>
      </c>
      <c r="F158" s="134">
        <v>8.6056740000000007E-3</v>
      </c>
      <c r="G158" s="135">
        <v>1.9735820999999997E-2</v>
      </c>
      <c r="H158" s="135">
        <v>4.2025029000000005E-2</v>
      </c>
      <c r="I158" s="135">
        <v>0.125860429</v>
      </c>
      <c r="J158" s="136">
        <v>0.23589436499999999</v>
      </c>
      <c r="K158" s="135">
        <v>0</v>
      </c>
      <c r="L158" s="135">
        <v>0</v>
      </c>
      <c r="M158" s="135">
        <v>0</v>
      </c>
      <c r="N158" s="135">
        <v>0</v>
      </c>
      <c r="O158" s="135">
        <v>0</v>
      </c>
      <c r="P158" s="134">
        <v>3.5015800000000004E-4</v>
      </c>
      <c r="Q158" s="135">
        <v>1.517586E-3</v>
      </c>
      <c r="R158" s="135">
        <v>1.814757E-3</v>
      </c>
      <c r="S158" s="135">
        <v>1.5367879999999999E-3</v>
      </c>
      <c r="T158" s="136">
        <v>1.458062E-3</v>
      </c>
      <c r="U158" s="135">
        <v>1.1311791E-2</v>
      </c>
      <c r="V158" s="135">
        <v>7.2449685E-2</v>
      </c>
      <c r="W158" s="135">
        <v>0.109977703</v>
      </c>
      <c r="X158" s="135">
        <v>0.14028589800000002</v>
      </c>
      <c r="Y158" s="136">
        <v>0.16394857599999998</v>
      </c>
    </row>
    <row r="159" spans="1:25">
      <c r="A159" s="125" t="s">
        <v>46</v>
      </c>
      <c r="B159" t="s">
        <v>75</v>
      </c>
      <c r="C159" s="186" t="s">
        <v>119</v>
      </c>
      <c r="D159" t="s">
        <v>181</v>
      </c>
      <c r="E159" t="s">
        <v>376</v>
      </c>
      <c r="F159" s="134">
        <v>8.3062949999999983E-2</v>
      </c>
      <c r="G159" s="135">
        <v>0.26594352999999998</v>
      </c>
      <c r="H159" s="135">
        <v>0.47626963099999992</v>
      </c>
      <c r="I159" s="135">
        <v>1.013606902</v>
      </c>
      <c r="J159" s="136">
        <v>1.2958205229999999</v>
      </c>
      <c r="K159" s="135">
        <v>0</v>
      </c>
      <c r="L159" s="135">
        <v>0</v>
      </c>
      <c r="M159" s="135">
        <v>0</v>
      </c>
      <c r="N159" s="135">
        <v>0</v>
      </c>
      <c r="O159" s="135">
        <v>0</v>
      </c>
      <c r="P159" s="134">
        <v>7.1385999999999997E-4</v>
      </c>
      <c r="Q159" s="135">
        <v>3.0435459999999998E-3</v>
      </c>
      <c r="R159" s="135">
        <v>3.6341949999999998E-3</v>
      </c>
      <c r="S159" s="135">
        <v>3.0642299999999998E-3</v>
      </c>
      <c r="T159" s="136">
        <v>2.9084530000000005E-3</v>
      </c>
      <c r="U159" s="135">
        <v>7.1599535999999991E-2</v>
      </c>
      <c r="V159" s="135">
        <v>0.39261117400000001</v>
      </c>
      <c r="W159" s="135">
        <v>0.56725283699999995</v>
      </c>
      <c r="X159" s="135">
        <v>0.71029542600000006</v>
      </c>
      <c r="Y159" s="136">
        <v>0.82655273499999993</v>
      </c>
    </row>
    <row r="160" spans="1:25">
      <c r="A160" s="125" t="s">
        <v>46</v>
      </c>
      <c r="B160" t="s">
        <v>75</v>
      </c>
      <c r="C160" s="186" t="s">
        <v>119</v>
      </c>
      <c r="D160" t="s">
        <v>183</v>
      </c>
      <c r="E160" t="s">
        <v>376</v>
      </c>
      <c r="F160" s="134">
        <v>7.8256860199999986E-2</v>
      </c>
      <c r="G160" s="135">
        <v>0.27089755899999995</v>
      </c>
      <c r="H160" s="135">
        <v>0.50003286600000008</v>
      </c>
      <c r="I160" s="135">
        <v>1.1067863579000001</v>
      </c>
      <c r="J160" s="136">
        <v>1.392140379</v>
      </c>
      <c r="K160" s="135">
        <v>0</v>
      </c>
      <c r="L160" s="135">
        <v>0</v>
      </c>
      <c r="M160" s="135">
        <v>0</v>
      </c>
      <c r="N160" s="135">
        <v>0</v>
      </c>
      <c r="O160" s="135">
        <v>0</v>
      </c>
      <c r="P160" s="134">
        <v>1.0359849999999999E-3</v>
      </c>
      <c r="Q160" s="135">
        <v>4.4817649999999995E-3</v>
      </c>
      <c r="R160" s="135">
        <v>5.378089E-3</v>
      </c>
      <c r="S160" s="135">
        <v>4.5687140000000006E-3</v>
      </c>
      <c r="T160" s="136">
        <v>4.3590349999999998E-3</v>
      </c>
      <c r="U160" s="135">
        <v>8.5524610000000001E-2</v>
      </c>
      <c r="V160" s="135">
        <v>0.49958946500000001</v>
      </c>
      <c r="W160" s="135">
        <v>0.73947170500000003</v>
      </c>
      <c r="X160" s="135">
        <v>0.93662411699999992</v>
      </c>
      <c r="Y160" s="136">
        <v>1.0951294789999999</v>
      </c>
    </row>
    <row r="161" spans="1:25">
      <c r="A161" s="125" t="s">
        <v>46</v>
      </c>
      <c r="B161" t="s">
        <v>75</v>
      </c>
      <c r="C161" s="186" t="s">
        <v>119</v>
      </c>
      <c r="D161" t="s">
        <v>185</v>
      </c>
      <c r="E161" t="s">
        <v>376</v>
      </c>
      <c r="F161" s="134">
        <v>0.87943338499999979</v>
      </c>
      <c r="G161" s="135">
        <v>2.8844281110000001</v>
      </c>
      <c r="H161" s="135">
        <v>5.6486103559999998</v>
      </c>
      <c r="I161" s="135">
        <v>10.328529677000001</v>
      </c>
      <c r="J161" s="136">
        <v>13.604505776000002</v>
      </c>
      <c r="K161" s="135">
        <v>0</v>
      </c>
      <c r="L161" s="135">
        <v>0</v>
      </c>
      <c r="M161" s="135">
        <v>0</v>
      </c>
      <c r="N161" s="135">
        <v>0</v>
      </c>
      <c r="O161" s="135">
        <v>0</v>
      </c>
      <c r="P161" s="134">
        <v>1.334991E-3</v>
      </c>
      <c r="Q161" s="135">
        <v>6.338308E-3</v>
      </c>
      <c r="R161" s="135">
        <v>7.7896479999999997E-3</v>
      </c>
      <c r="S161" s="135">
        <v>6.7481959999999997E-3</v>
      </c>
      <c r="T161" s="136">
        <v>6.4612089999999999E-3</v>
      </c>
      <c r="U161" s="135">
        <v>8.7662575999999992E-2</v>
      </c>
      <c r="V161" s="135">
        <v>0.48627072199999999</v>
      </c>
      <c r="W161" s="135">
        <v>0.70576547000000001</v>
      </c>
      <c r="X161" s="135">
        <v>0.88570217800000006</v>
      </c>
      <c r="Y161" s="136">
        <v>1.031567728</v>
      </c>
    </row>
    <row r="162" spans="1:25">
      <c r="A162" s="125" t="s">
        <v>46</v>
      </c>
      <c r="B162" t="s">
        <v>75</v>
      </c>
      <c r="C162" s="186" t="s">
        <v>119</v>
      </c>
      <c r="D162" t="s">
        <v>187</v>
      </c>
      <c r="E162" t="s">
        <v>376</v>
      </c>
      <c r="F162" s="134">
        <v>2.4259623110000001</v>
      </c>
      <c r="G162" s="135">
        <v>7.4228544530000002</v>
      </c>
      <c r="H162" s="135">
        <v>15.915879059</v>
      </c>
      <c r="I162" s="135">
        <v>29.667824081999999</v>
      </c>
      <c r="J162" s="136">
        <v>40.369645105000011</v>
      </c>
      <c r="K162" s="135">
        <v>0</v>
      </c>
      <c r="L162" s="135">
        <v>0</v>
      </c>
      <c r="M162" s="135">
        <v>0</v>
      </c>
      <c r="N162" s="135">
        <v>0</v>
      </c>
      <c r="O162" s="135">
        <v>0</v>
      </c>
      <c r="P162" s="134">
        <v>9.5141799999999999E-4</v>
      </c>
      <c r="Q162" s="135">
        <v>3.6168859999999997E-3</v>
      </c>
      <c r="R162" s="135">
        <v>4.2136889999999996E-3</v>
      </c>
      <c r="S162" s="135">
        <v>3.4925739999999996E-3</v>
      </c>
      <c r="T162" s="136">
        <v>3.331044E-3</v>
      </c>
      <c r="U162" s="135">
        <v>0.14000711699999999</v>
      </c>
      <c r="V162" s="135">
        <v>0.88919042500000001</v>
      </c>
      <c r="W162" s="135">
        <v>1.347505291</v>
      </c>
      <c r="X162" s="135">
        <v>1.7189681379999999</v>
      </c>
      <c r="Y162" s="136">
        <v>2.0097596470000001</v>
      </c>
    </row>
    <row r="163" spans="1:25">
      <c r="A163" s="125" t="s">
        <v>46</v>
      </c>
      <c r="B163" t="s">
        <v>75</v>
      </c>
      <c r="C163" s="186" t="s">
        <v>119</v>
      </c>
      <c r="D163" t="s">
        <v>189</v>
      </c>
      <c r="E163" t="s">
        <v>376</v>
      </c>
      <c r="F163" s="134">
        <v>2.3433055599999999E-4</v>
      </c>
      <c r="G163" s="135">
        <v>5.7807293999999993E-4</v>
      </c>
      <c r="H163" s="135">
        <v>1.24593394E-3</v>
      </c>
      <c r="I163" s="135">
        <v>3.8139357560000001E-3</v>
      </c>
      <c r="J163" s="136">
        <v>7.5657389000000005E-3</v>
      </c>
      <c r="K163" s="135">
        <v>0</v>
      </c>
      <c r="L163" s="135">
        <v>0</v>
      </c>
      <c r="M163" s="135">
        <v>0</v>
      </c>
      <c r="N163" s="135">
        <v>0</v>
      </c>
      <c r="O163" s="135">
        <v>0</v>
      </c>
      <c r="P163" s="134">
        <v>2.9300000000000001E-5</v>
      </c>
      <c r="Q163" s="135">
        <v>9.4025999999999997E-5</v>
      </c>
      <c r="R163" s="135">
        <v>1.0764900000000001E-4</v>
      </c>
      <c r="S163" s="135">
        <v>8.6919999999999988E-5</v>
      </c>
      <c r="T163" s="136">
        <v>8.4334999999999998E-5</v>
      </c>
      <c r="U163" s="135">
        <v>2.2255496E-2</v>
      </c>
      <c r="V163" s="135">
        <v>0.14893347400000001</v>
      </c>
      <c r="W163" s="135">
        <v>0.229617451</v>
      </c>
      <c r="X163" s="135">
        <v>0.29543002800000001</v>
      </c>
      <c r="Y163" s="136">
        <v>0.34701746700000002</v>
      </c>
    </row>
    <row r="164" spans="1:25">
      <c r="A164" s="125" t="s">
        <v>46</v>
      </c>
      <c r="B164" t="s">
        <v>75</v>
      </c>
      <c r="C164" s="186" t="s">
        <v>119</v>
      </c>
      <c r="D164" t="s">
        <v>191</v>
      </c>
      <c r="E164" t="s">
        <v>376</v>
      </c>
      <c r="F164" s="134">
        <v>1.1731161000000001E-3</v>
      </c>
      <c r="G164" s="135">
        <v>2.8861366999999999E-3</v>
      </c>
      <c r="H164" s="135">
        <v>6.6065270999999997E-3</v>
      </c>
      <c r="I164" s="135">
        <v>2.1717533300000001E-2</v>
      </c>
      <c r="J164" s="136">
        <v>4.1860199000000001E-2</v>
      </c>
      <c r="K164" s="135">
        <v>0</v>
      </c>
      <c r="L164" s="135">
        <v>0</v>
      </c>
      <c r="M164" s="135">
        <v>0</v>
      </c>
      <c r="N164" s="135">
        <v>0</v>
      </c>
      <c r="O164" s="135">
        <v>0</v>
      </c>
      <c r="P164" s="134">
        <v>6.6530000000000002E-5</v>
      </c>
      <c r="Q164" s="135">
        <v>2.3863500000000001E-4</v>
      </c>
      <c r="R164" s="135">
        <v>2.8245000000000001E-4</v>
      </c>
      <c r="S164" s="135">
        <v>2.2821000000000004E-4</v>
      </c>
      <c r="T164" s="136">
        <v>2.1481500000000001E-4</v>
      </c>
      <c r="U164" s="135">
        <v>3.7173405999999999E-2</v>
      </c>
      <c r="V164" s="135">
        <v>0.24859055799999999</v>
      </c>
      <c r="W164" s="135">
        <v>0.38337975699999999</v>
      </c>
      <c r="X164" s="135">
        <v>0.49331577799999998</v>
      </c>
      <c r="Y164" s="136">
        <v>0.57972207799999997</v>
      </c>
    </row>
    <row r="165" spans="1:25">
      <c r="A165" s="125" t="s">
        <v>46</v>
      </c>
      <c r="B165" t="s">
        <v>75</v>
      </c>
      <c r="C165" s="186" t="s">
        <v>361</v>
      </c>
      <c r="D165" t="s">
        <v>359</v>
      </c>
      <c r="E165" t="s">
        <v>376</v>
      </c>
      <c r="F165" s="134">
        <v>0.40210660899999995</v>
      </c>
      <c r="G165" s="135">
        <v>1.0138588845559999</v>
      </c>
      <c r="H165" s="135">
        <v>1.8502282961700001</v>
      </c>
      <c r="I165" s="135">
        <v>2.7601525228000003</v>
      </c>
      <c r="J165" s="136">
        <v>3.5944901872000004</v>
      </c>
      <c r="K165" s="135">
        <v>0</v>
      </c>
      <c r="L165" s="135">
        <v>0</v>
      </c>
      <c r="M165" s="135">
        <v>0</v>
      </c>
      <c r="N165" s="135">
        <v>0</v>
      </c>
      <c r="O165" s="135">
        <v>0</v>
      </c>
      <c r="P165" s="134">
        <v>2.2639900000000001E-4</v>
      </c>
      <c r="Q165" s="135">
        <v>3.71147E-4</v>
      </c>
      <c r="R165" s="135">
        <v>3.71147E-4</v>
      </c>
      <c r="S165" s="135">
        <v>4.5637299999999999E-4</v>
      </c>
      <c r="T165" s="136">
        <v>5.1041499999999996E-4</v>
      </c>
      <c r="U165" s="135">
        <v>2.0541729000000002E-2</v>
      </c>
      <c r="V165" s="135">
        <v>0.111294272</v>
      </c>
      <c r="W165" s="135">
        <v>0.160334004</v>
      </c>
      <c r="X165" s="135">
        <v>0.20062708800000001</v>
      </c>
      <c r="Y165" s="136">
        <v>0.23357583700000001</v>
      </c>
    </row>
    <row r="166" spans="1:25">
      <c r="A166" s="125" t="s">
        <v>46</v>
      </c>
      <c r="B166" t="s">
        <v>75</v>
      </c>
      <c r="C166" s="186" t="s">
        <v>236</v>
      </c>
      <c r="D166" t="s">
        <v>234</v>
      </c>
      <c r="E166" t="s">
        <v>376</v>
      </c>
      <c r="F166" s="134">
        <v>1.1720653543999999</v>
      </c>
      <c r="G166" s="135">
        <v>3.3822448397999998</v>
      </c>
      <c r="H166" s="135">
        <v>7.3963299060000001</v>
      </c>
      <c r="I166" s="135">
        <v>14.345905624</v>
      </c>
      <c r="J166" s="136">
        <v>19.953907185999999</v>
      </c>
      <c r="K166" s="135">
        <v>0</v>
      </c>
      <c r="L166" s="135">
        <v>0</v>
      </c>
      <c r="M166" s="135">
        <v>0</v>
      </c>
      <c r="N166" s="135">
        <v>0</v>
      </c>
      <c r="O166" s="135">
        <v>2.3239999999999998E-5</v>
      </c>
      <c r="P166" s="134">
        <v>0</v>
      </c>
      <c r="Q166" s="135">
        <v>0</v>
      </c>
      <c r="R166" s="135">
        <v>0</v>
      </c>
      <c r="S166" s="135">
        <v>0</v>
      </c>
      <c r="T166" s="136">
        <v>0</v>
      </c>
      <c r="U166" s="135">
        <v>3.5871690000000003E-3</v>
      </c>
      <c r="V166" s="135">
        <v>9.4022369999999991E-3</v>
      </c>
      <c r="W166" s="135">
        <v>8.3943420000000008E-3</v>
      </c>
      <c r="X166" s="135">
        <v>8.019778E-3</v>
      </c>
      <c r="Y166" s="136">
        <v>8.6778419999999998E-3</v>
      </c>
    </row>
    <row r="167" spans="1:25">
      <c r="A167" s="125" t="s">
        <v>46</v>
      </c>
      <c r="B167" t="s">
        <v>75</v>
      </c>
      <c r="C167" s="186" t="s">
        <v>236</v>
      </c>
      <c r="D167" t="s">
        <v>237</v>
      </c>
      <c r="E167" t="s">
        <v>376</v>
      </c>
      <c r="F167" s="134">
        <v>0.70715749520000004</v>
      </c>
      <c r="G167" s="135">
        <v>2.1954649010000002</v>
      </c>
      <c r="H167" s="135">
        <v>3.9746135150000002</v>
      </c>
      <c r="I167" s="135">
        <v>6.4825373149999983</v>
      </c>
      <c r="J167" s="136">
        <v>8.1970218020000019</v>
      </c>
      <c r="K167" s="135">
        <v>0</v>
      </c>
      <c r="L167" s="135">
        <v>0</v>
      </c>
      <c r="M167" s="135">
        <v>0</v>
      </c>
      <c r="N167" s="135">
        <v>0</v>
      </c>
      <c r="O167" s="135">
        <v>2.1880000000000001E-5</v>
      </c>
      <c r="P167" s="134">
        <v>0</v>
      </c>
      <c r="Q167" s="135">
        <v>0</v>
      </c>
      <c r="R167" s="135">
        <v>0</v>
      </c>
      <c r="S167" s="135">
        <v>0</v>
      </c>
      <c r="T167" s="136">
        <v>0</v>
      </c>
      <c r="U167" s="135">
        <v>8.1618879999999991E-3</v>
      </c>
      <c r="V167" s="135">
        <v>1.8359214999999998E-2</v>
      </c>
      <c r="W167" s="135">
        <v>1.3173541E-2</v>
      </c>
      <c r="X167" s="135">
        <v>1.0083298000000001E-2</v>
      </c>
      <c r="Y167" s="136">
        <v>1.0042855E-2</v>
      </c>
    </row>
    <row r="168" spans="1:25">
      <c r="A168" s="125" t="s">
        <v>46</v>
      </c>
      <c r="B168" t="s">
        <v>75</v>
      </c>
      <c r="C168" s="186" t="s">
        <v>236</v>
      </c>
      <c r="D168" t="s">
        <v>239</v>
      </c>
      <c r="E168" t="s">
        <v>376</v>
      </c>
      <c r="F168" s="134">
        <v>0.25257501569999996</v>
      </c>
      <c r="G168" s="135">
        <v>0.63607253799999997</v>
      </c>
      <c r="H168" s="135">
        <v>0.84633605999999995</v>
      </c>
      <c r="I168" s="135">
        <v>1.3564836179999999</v>
      </c>
      <c r="J168" s="136">
        <v>1.6992975970000002</v>
      </c>
      <c r="K168" s="135">
        <v>0</v>
      </c>
      <c r="L168" s="135">
        <v>0</v>
      </c>
      <c r="M168" s="135">
        <v>0</v>
      </c>
      <c r="N168" s="135">
        <v>0</v>
      </c>
      <c r="O168" s="135">
        <v>2.9459999999999999E-5</v>
      </c>
      <c r="P168" s="134">
        <v>0</v>
      </c>
      <c r="Q168" s="135">
        <v>0</v>
      </c>
      <c r="R168" s="135">
        <v>0</v>
      </c>
      <c r="S168" s="135">
        <v>0</v>
      </c>
      <c r="T168" s="136">
        <v>0</v>
      </c>
      <c r="U168" s="135">
        <v>6.6032640000000002E-3</v>
      </c>
      <c r="V168" s="135">
        <v>1.4893441E-2</v>
      </c>
      <c r="W168" s="135">
        <v>1.0736853999999999E-2</v>
      </c>
      <c r="X168" s="135">
        <v>8.2672020000000013E-3</v>
      </c>
      <c r="Y168" s="136">
        <v>8.2558370000000002E-3</v>
      </c>
    </row>
    <row r="169" spans="1:25">
      <c r="A169" s="125" t="s">
        <v>46</v>
      </c>
      <c r="B169" t="s">
        <v>75</v>
      </c>
      <c r="C169" s="186" t="s">
        <v>243</v>
      </c>
      <c r="D169" t="s">
        <v>241</v>
      </c>
      <c r="E169" t="s">
        <v>376</v>
      </c>
      <c r="F169" s="134">
        <v>0.19391122</v>
      </c>
      <c r="G169" s="135">
        <v>0.56999654899999985</v>
      </c>
      <c r="H169" s="135">
        <v>0.86570705599999997</v>
      </c>
      <c r="I169" s="135">
        <v>1.36825653</v>
      </c>
      <c r="J169" s="136">
        <v>1.5795779420000002</v>
      </c>
      <c r="K169" s="135">
        <v>0</v>
      </c>
      <c r="L169" s="135">
        <v>0</v>
      </c>
      <c r="M169" s="135">
        <v>2.6068400000000001E-4</v>
      </c>
      <c r="N169" s="135">
        <v>2.6068400000000001E-4</v>
      </c>
      <c r="O169" s="135">
        <v>2.6068400000000001E-4</v>
      </c>
      <c r="P169" s="134">
        <v>0</v>
      </c>
      <c r="Q169" s="135">
        <v>6.2699999999999993E-5</v>
      </c>
      <c r="R169" s="135">
        <v>2.0510800000000002E-4</v>
      </c>
      <c r="S169" s="135">
        <v>3.1501000000000001E-4</v>
      </c>
      <c r="T169" s="136">
        <v>4.6068499999999996E-4</v>
      </c>
      <c r="U169" s="135">
        <v>2.3644536000000001E-2</v>
      </c>
      <c r="V169" s="135">
        <v>9.0266842999999999E-2</v>
      </c>
      <c r="W169" s="135">
        <v>0.110617865</v>
      </c>
      <c r="X169" s="135">
        <v>0.129051576</v>
      </c>
      <c r="Y169" s="136">
        <v>0.14776346100000001</v>
      </c>
    </row>
    <row r="170" spans="1:25">
      <c r="A170" s="125" t="s">
        <v>46</v>
      </c>
      <c r="B170" t="s">
        <v>75</v>
      </c>
      <c r="C170" s="186" t="s">
        <v>123</v>
      </c>
      <c r="D170" t="s">
        <v>244</v>
      </c>
      <c r="E170" t="s">
        <v>376</v>
      </c>
      <c r="F170" s="134">
        <v>1.2848385769999999</v>
      </c>
      <c r="G170" s="135">
        <v>4.1246396800000005</v>
      </c>
      <c r="H170" s="135">
        <v>8.2428646160000003</v>
      </c>
      <c r="I170" s="135">
        <v>14.839458624999999</v>
      </c>
      <c r="J170" s="136">
        <v>19.609989415000001</v>
      </c>
      <c r="K170" s="135">
        <v>0</v>
      </c>
      <c r="L170" s="135">
        <v>0</v>
      </c>
      <c r="M170" s="135">
        <v>0</v>
      </c>
      <c r="N170" s="135">
        <v>0</v>
      </c>
      <c r="O170" s="135">
        <v>0</v>
      </c>
      <c r="P170" s="134">
        <v>3.9843980000000001E-3</v>
      </c>
      <c r="Q170" s="135">
        <v>5.2957750000000008E-3</v>
      </c>
      <c r="R170" s="135">
        <v>6.5282669999999991E-3</v>
      </c>
      <c r="S170" s="135">
        <v>5.5440309999999996E-3</v>
      </c>
      <c r="T170" s="136">
        <v>6.5467629999999997E-3</v>
      </c>
      <c r="U170" s="135">
        <v>0.15884135499999999</v>
      </c>
      <c r="V170" s="135">
        <v>0.95740310799999995</v>
      </c>
      <c r="W170" s="135">
        <v>1.428004192</v>
      </c>
      <c r="X170" s="135">
        <v>1.8092611709999999</v>
      </c>
      <c r="Y170" s="136">
        <v>2.110758932</v>
      </c>
    </row>
    <row r="171" spans="1:25">
      <c r="A171" s="125" t="s">
        <v>46</v>
      </c>
      <c r="B171" t="s">
        <v>75</v>
      </c>
      <c r="C171" s="186" t="s">
        <v>123</v>
      </c>
      <c r="D171" t="s">
        <v>246</v>
      </c>
      <c r="E171" t="s">
        <v>376</v>
      </c>
      <c r="F171" s="134">
        <v>0.97839970899999995</v>
      </c>
      <c r="G171" s="135">
        <v>3.590177416</v>
      </c>
      <c r="H171" s="135">
        <v>6.5698214440000005</v>
      </c>
      <c r="I171" s="135">
        <v>10.706916209000001</v>
      </c>
      <c r="J171" s="136">
        <v>13.717390962</v>
      </c>
      <c r="K171" s="135">
        <v>0</v>
      </c>
      <c r="L171" s="135">
        <v>0</v>
      </c>
      <c r="M171" s="135">
        <v>0</v>
      </c>
      <c r="N171" s="135">
        <v>0</v>
      </c>
      <c r="O171" s="135">
        <v>0</v>
      </c>
      <c r="P171" s="134">
        <v>9.0387900000000001E-4</v>
      </c>
      <c r="Q171" s="135">
        <v>1.2682139999999999E-3</v>
      </c>
      <c r="R171" s="135">
        <v>2.5658439999999999E-3</v>
      </c>
      <c r="S171" s="135">
        <v>2.4158230000000001E-3</v>
      </c>
      <c r="T171" s="136">
        <v>2.9770579999999999E-3</v>
      </c>
      <c r="U171" s="135">
        <v>7.3903868999999997E-2</v>
      </c>
      <c r="V171" s="135">
        <v>0.41915760699999999</v>
      </c>
      <c r="W171" s="135">
        <v>0.61452019299999994</v>
      </c>
      <c r="X171" s="135">
        <v>0.77543120600000004</v>
      </c>
      <c r="Y171" s="136">
        <v>0.90633862399999998</v>
      </c>
    </row>
    <row r="172" spans="1:25">
      <c r="A172" s="125" t="s">
        <v>46</v>
      </c>
      <c r="B172" t="s">
        <v>75</v>
      </c>
      <c r="C172" s="186" t="s">
        <v>123</v>
      </c>
      <c r="D172" t="s">
        <v>248</v>
      </c>
      <c r="E172" t="s">
        <v>376</v>
      </c>
      <c r="F172" s="134">
        <v>2.3951209519999996</v>
      </c>
      <c r="G172" s="135">
        <v>7.0742070190000002</v>
      </c>
      <c r="H172" s="135">
        <v>15.963876469999999</v>
      </c>
      <c r="I172" s="135">
        <v>31.092108391999997</v>
      </c>
      <c r="J172" s="136">
        <v>43.157221799000013</v>
      </c>
      <c r="K172" s="135">
        <v>0</v>
      </c>
      <c r="L172" s="135">
        <v>0</v>
      </c>
      <c r="M172" s="135">
        <v>0</v>
      </c>
      <c r="N172" s="135">
        <v>0</v>
      </c>
      <c r="O172" s="135">
        <v>0</v>
      </c>
      <c r="P172" s="134">
        <v>7.6062599999999992E-4</v>
      </c>
      <c r="Q172" s="135">
        <v>1.104746E-3</v>
      </c>
      <c r="R172" s="135">
        <v>1.3676109999999999E-3</v>
      </c>
      <c r="S172" s="135">
        <v>1.157216E-3</v>
      </c>
      <c r="T172" s="136">
        <v>1.634801E-3</v>
      </c>
      <c r="U172" s="135">
        <v>7.4007319000000002E-2</v>
      </c>
      <c r="V172" s="135">
        <v>0.46045086000000002</v>
      </c>
      <c r="W172" s="135">
        <v>0.694944648</v>
      </c>
      <c r="X172" s="135">
        <v>0.88613109499999998</v>
      </c>
      <c r="Y172" s="136">
        <v>1.0378025630000001</v>
      </c>
    </row>
    <row r="173" spans="1:25">
      <c r="A173" s="125" t="s">
        <v>46</v>
      </c>
      <c r="B173" t="s">
        <v>75</v>
      </c>
      <c r="C173" s="186" t="s">
        <v>123</v>
      </c>
      <c r="D173" t="s">
        <v>250</v>
      </c>
      <c r="E173" t="s">
        <v>376</v>
      </c>
      <c r="F173" s="134">
        <v>1.2985824849999998</v>
      </c>
      <c r="G173" s="135">
        <v>3.9965226809999992</v>
      </c>
      <c r="H173" s="135">
        <v>8.7904751489999988</v>
      </c>
      <c r="I173" s="135">
        <v>14.821057773</v>
      </c>
      <c r="J173" s="136">
        <v>19.40104053</v>
      </c>
      <c r="K173" s="135">
        <v>0</v>
      </c>
      <c r="L173" s="135">
        <v>0</v>
      </c>
      <c r="M173" s="135">
        <v>0</v>
      </c>
      <c r="N173" s="135">
        <v>0</v>
      </c>
      <c r="O173" s="135">
        <v>0</v>
      </c>
      <c r="P173" s="134">
        <v>1.8054619999999999E-3</v>
      </c>
      <c r="Q173" s="135">
        <v>2.5094309999999995E-3</v>
      </c>
      <c r="R173" s="135">
        <v>4.7798519999999994E-3</v>
      </c>
      <c r="S173" s="135">
        <v>4.444094E-3</v>
      </c>
      <c r="T173" s="136">
        <v>5.0667000000000004E-3</v>
      </c>
      <c r="U173" s="135">
        <v>8.9583472999999997E-2</v>
      </c>
      <c r="V173" s="135">
        <v>0.51592945300000004</v>
      </c>
      <c r="W173" s="135">
        <v>0.75869318299999999</v>
      </c>
      <c r="X173" s="135">
        <v>0.95653976099999993</v>
      </c>
      <c r="Y173" s="136">
        <v>1.1151586229999999</v>
      </c>
    </row>
    <row r="174" spans="1:25">
      <c r="A174" s="125" t="s">
        <v>46</v>
      </c>
      <c r="B174" t="s">
        <v>75</v>
      </c>
      <c r="C174" s="186" t="s">
        <v>123</v>
      </c>
      <c r="D174" t="s">
        <v>252</v>
      </c>
      <c r="E174" t="s">
        <v>376</v>
      </c>
      <c r="F174" s="134">
        <v>0.64680949300000001</v>
      </c>
      <c r="G174" s="135">
        <v>1.9958616019999997</v>
      </c>
      <c r="H174" s="135">
        <v>3.9478400869999999</v>
      </c>
      <c r="I174" s="135">
        <v>7.1606307149999981</v>
      </c>
      <c r="J174" s="136">
        <v>9.3069813730000011</v>
      </c>
      <c r="K174" s="135">
        <v>0</v>
      </c>
      <c r="L174" s="135">
        <v>0</v>
      </c>
      <c r="M174" s="135">
        <v>0</v>
      </c>
      <c r="N174" s="135">
        <v>0</v>
      </c>
      <c r="O174" s="135">
        <v>0</v>
      </c>
      <c r="P174" s="134">
        <v>1.6262709999999999E-3</v>
      </c>
      <c r="Q174" s="135">
        <v>2.2056799999999998E-3</v>
      </c>
      <c r="R174" s="135">
        <v>3.5437489999999997E-3</v>
      </c>
      <c r="S174" s="135">
        <v>3.1943969999999999E-3</v>
      </c>
      <c r="T174" s="136">
        <v>3.7237220000000005E-3</v>
      </c>
      <c r="U174" s="135">
        <v>0.15472562500000001</v>
      </c>
      <c r="V174" s="135">
        <v>0.97245006200000006</v>
      </c>
      <c r="W174" s="135">
        <v>1.4689079899999999</v>
      </c>
      <c r="X174" s="135">
        <v>1.8695587919999999</v>
      </c>
      <c r="Y174" s="136">
        <v>2.183286861</v>
      </c>
    </row>
    <row r="175" spans="1:25">
      <c r="A175" s="125" t="s">
        <v>46</v>
      </c>
      <c r="B175" t="s">
        <v>75</v>
      </c>
      <c r="C175" s="186" t="s">
        <v>259</v>
      </c>
      <c r="D175" t="s">
        <v>257</v>
      </c>
      <c r="E175" t="s">
        <v>376</v>
      </c>
      <c r="F175" s="134">
        <v>0.73063972900000007</v>
      </c>
      <c r="G175" s="135">
        <v>2.3701880159999997</v>
      </c>
      <c r="H175" s="135">
        <v>5.5274002489999985</v>
      </c>
      <c r="I175" s="135">
        <v>9.229698836999999</v>
      </c>
      <c r="J175" s="136">
        <v>12.657033762999999</v>
      </c>
      <c r="K175" s="135">
        <v>0</v>
      </c>
      <c r="L175" s="135">
        <v>0</v>
      </c>
      <c r="M175" s="135">
        <v>0</v>
      </c>
      <c r="N175" s="135">
        <v>0</v>
      </c>
      <c r="O175" s="135">
        <v>0</v>
      </c>
      <c r="P175" s="134">
        <v>0</v>
      </c>
      <c r="Q175" s="135">
        <v>0</v>
      </c>
      <c r="R175" s="135">
        <v>0</v>
      </c>
      <c r="S175" s="135">
        <v>0</v>
      </c>
      <c r="T175" s="136">
        <v>0</v>
      </c>
      <c r="U175" s="135">
        <v>3.9400609999999996E-2</v>
      </c>
      <c r="V175" s="135">
        <v>0.23118923600000002</v>
      </c>
      <c r="W175" s="135">
        <v>0.34215368499999999</v>
      </c>
      <c r="X175" s="135">
        <v>0.43252480400000004</v>
      </c>
      <c r="Y175" s="136">
        <v>0.50472011900000002</v>
      </c>
    </row>
    <row r="176" spans="1:25">
      <c r="A176" s="125" t="s">
        <v>46</v>
      </c>
      <c r="B176" t="s">
        <v>75</v>
      </c>
      <c r="C176" s="186" t="s">
        <v>261</v>
      </c>
      <c r="D176" t="s">
        <v>260</v>
      </c>
      <c r="E176" t="s">
        <v>376</v>
      </c>
      <c r="F176" s="134">
        <v>7.0383834000000006E-2</v>
      </c>
      <c r="G176" s="135">
        <v>0.17684165299999999</v>
      </c>
      <c r="H176" s="135">
        <v>0.26347548199999998</v>
      </c>
      <c r="I176" s="135">
        <v>0.57359036399999996</v>
      </c>
      <c r="J176" s="136">
        <v>0.73062325500000003</v>
      </c>
      <c r="K176" s="135">
        <v>0</v>
      </c>
      <c r="L176" s="135">
        <v>0</v>
      </c>
      <c r="M176" s="135">
        <v>0</v>
      </c>
      <c r="N176" s="135">
        <v>0</v>
      </c>
      <c r="O176" s="135">
        <v>0</v>
      </c>
      <c r="P176" s="134">
        <v>0</v>
      </c>
      <c r="Q176" s="135">
        <v>0</v>
      </c>
      <c r="R176" s="135">
        <v>0</v>
      </c>
      <c r="S176" s="135">
        <v>0</v>
      </c>
      <c r="T176" s="136">
        <v>0</v>
      </c>
      <c r="U176" s="135">
        <v>1.0093375E-2</v>
      </c>
      <c r="V176" s="135">
        <v>2.3502969000000002E-2</v>
      </c>
      <c r="W176" s="135">
        <v>1.7852323999999999E-2</v>
      </c>
      <c r="X176" s="135">
        <v>1.4620760999999999E-2</v>
      </c>
      <c r="Y176" s="136">
        <v>1.4976410999999999E-2</v>
      </c>
    </row>
    <row r="177" spans="1:25">
      <c r="A177" s="125" t="s">
        <v>46</v>
      </c>
      <c r="B177" t="s">
        <v>75</v>
      </c>
      <c r="C177" s="186" t="s">
        <v>256</v>
      </c>
      <c r="D177" t="s">
        <v>254</v>
      </c>
      <c r="E177" t="s">
        <v>376</v>
      </c>
      <c r="F177" s="134">
        <v>0.10825707549999999</v>
      </c>
      <c r="G177" s="135">
        <v>0.32154095399999993</v>
      </c>
      <c r="H177" s="135">
        <v>0.49726090500000003</v>
      </c>
      <c r="I177" s="135">
        <v>0.97954194000000006</v>
      </c>
      <c r="J177" s="136">
        <v>1.2339257340000001</v>
      </c>
      <c r="K177" s="135">
        <v>0</v>
      </c>
      <c r="L177" s="135">
        <v>0</v>
      </c>
      <c r="M177" s="135">
        <v>0</v>
      </c>
      <c r="N177" s="135">
        <v>0</v>
      </c>
      <c r="O177" s="135">
        <v>0</v>
      </c>
      <c r="P177" s="134">
        <v>0</v>
      </c>
      <c r="Q177" s="135">
        <v>0</v>
      </c>
      <c r="R177" s="135">
        <v>0</v>
      </c>
      <c r="S177" s="135">
        <v>0</v>
      </c>
      <c r="T177" s="136">
        <v>0</v>
      </c>
      <c r="U177" s="135">
        <v>5.24E-5</v>
      </c>
      <c r="V177" s="135">
        <v>3.50293E-4</v>
      </c>
      <c r="W177" s="135">
        <v>5.3873500000000004E-4</v>
      </c>
      <c r="X177" s="135">
        <v>6.9056100000000002E-4</v>
      </c>
      <c r="Y177" s="136">
        <v>8.0832799999999998E-4</v>
      </c>
    </row>
    <row r="178" spans="1:25">
      <c r="A178" s="125" t="s">
        <v>46</v>
      </c>
      <c r="B178" t="s">
        <v>75</v>
      </c>
      <c r="C178" s="186" t="s">
        <v>263</v>
      </c>
      <c r="D178" t="s">
        <v>262</v>
      </c>
      <c r="E178" t="s">
        <v>376</v>
      </c>
      <c r="F178" s="134">
        <v>1.05021E-4</v>
      </c>
      <c r="G178" s="135">
        <v>4.02416E-4</v>
      </c>
      <c r="H178" s="135">
        <v>1.386328E-3</v>
      </c>
      <c r="I178" s="135">
        <v>1.505068E-2</v>
      </c>
      <c r="J178" s="136">
        <v>2.7416305000000002E-2</v>
      </c>
      <c r="K178" s="135">
        <v>4.1701939999999997E-5</v>
      </c>
      <c r="L178" s="135">
        <v>7.7903889999999997E-5</v>
      </c>
      <c r="M178" s="135">
        <v>1.0632428E-4</v>
      </c>
      <c r="N178" s="135">
        <v>1.0632428E-4</v>
      </c>
      <c r="O178" s="135">
        <v>6.4703059999999998E-5</v>
      </c>
      <c r="P178" s="134">
        <v>0</v>
      </c>
      <c r="Q178" s="135">
        <v>1.0776199999999999E-4</v>
      </c>
      <c r="R178" s="135">
        <v>1.2564E-4</v>
      </c>
      <c r="S178" s="135">
        <v>1.4553999999999999E-4</v>
      </c>
      <c r="T178" s="136">
        <v>1.6478599999999999E-4</v>
      </c>
      <c r="U178" s="135">
        <v>3.29E-5</v>
      </c>
      <c r="V178" s="135">
        <v>2.1997999999999999E-4</v>
      </c>
      <c r="W178" s="135">
        <v>3.3831900000000001E-4</v>
      </c>
      <c r="X178" s="135">
        <v>4.33664E-4</v>
      </c>
      <c r="Y178" s="136">
        <v>5.0761999999999997E-4</v>
      </c>
    </row>
    <row r="179" spans="1:25">
      <c r="A179" s="125" t="s">
        <v>46</v>
      </c>
      <c r="B179" t="s">
        <v>75</v>
      </c>
      <c r="C179" s="186" t="s">
        <v>125</v>
      </c>
      <c r="D179" t="s">
        <v>264</v>
      </c>
      <c r="E179" t="s">
        <v>376</v>
      </c>
      <c r="F179" s="134">
        <v>1.1842343799999999E-2</v>
      </c>
      <c r="G179" s="135">
        <v>2.7759488999999998E-2</v>
      </c>
      <c r="H179" s="135">
        <v>6.2491107900000002E-2</v>
      </c>
      <c r="I179" s="135">
        <v>0.14535686389999997</v>
      </c>
      <c r="J179" s="136">
        <v>0.25257004430000002</v>
      </c>
      <c r="K179" s="135">
        <v>0</v>
      </c>
      <c r="L179" s="135">
        <v>0</v>
      </c>
      <c r="M179" s="135">
        <v>7.4799999999999995E-6</v>
      </c>
      <c r="N179" s="135">
        <v>2.1329999999999997E-5</v>
      </c>
      <c r="O179" s="135">
        <v>2.9189999999999997E-5</v>
      </c>
      <c r="P179" s="134">
        <v>0</v>
      </c>
      <c r="Q179" s="135">
        <v>7.9000000000000006E-6</v>
      </c>
      <c r="R179" s="135">
        <v>6.7630000000000001E-5</v>
      </c>
      <c r="S179" s="135">
        <v>6.3864999999999999E-5</v>
      </c>
      <c r="T179" s="136">
        <v>6.0350000000000003E-5</v>
      </c>
      <c r="U179" s="135">
        <v>5.9207139999999997E-3</v>
      </c>
      <c r="V179" s="135">
        <v>1.3573271999999999E-2</v>
      </c>
      <c r="W179" s="135">
        <v>1.0055239000000001E-2</v>
      </c>
      <c r="X179" s="135">
        <v>8.002304E-3</v>
      </c>
      <c r="Y179" s="136">
        <v>8.1029970000000007E-3</v>
      </c>
    </row>
    <row r="180" spans="1:25">
      <c r="A180" s="125" t="s">
        <v>46</v>
      </c>
      <c r="B180" t="s">
        <v>75</v>
      </c>
      <c r="C180" s="186" t="s">
        <v>125</v>
      </c>
      <c r="D180" t="s">
        <v>266</v>
      </c>
      <c r="E180" t="s">
        <v>376</v>
      </c>
      <c r="F180" s="134">
        <v>4.7100677000000001E-2</v>
      </c>
      <c r="G180" s="135">
        <v>0.13748358499999996</v>
      </c>
      <c r="H180" s="135">
        <v>0.28083848919999999</v>
      </c>
      <c r="I180" s="135">
        <v>0.5953486951000001</v>
      </c>
      <c r="J180" s="136">
        <v>0.84977294489999999</v>
      </c>
      <c r="K180" s="135">
        <v>0</v>
      </c>
      <c r="L180" s="135">
        <v>1.876E-5</v>
      </c>
      <c r="M180" s="135">
        <v>5.1929999999999999E-5</v>
      </c>
      <c r="N180" s="135">
        <v>5.5089999999999996E-5</v>
      </c>
      <c r="O180" s="135">
        <v>5.6849999999999999E-5</v>
      </c>
      <c r="P180" s="134">
        <v>0</v>
      </c>
      <c r="Q180" s="135">
        <v>2.3459999999999999E-5</v>
      </c>
      <c r="R180" s="135">
        <v>2.0330500000000001E-4</v>
      </c>
      <c r="S180" s="135">
        <v>1.9440800000000003E-4</v>
      </c>
      <c r="T180" s="136">
        <v>1.85914E-4</v>
      </c>
      <c r="U180" s="135">
        <v>8.2890470000000008E-3</v>
      </c>
      <c r="V180" s="135">
        <v>1.8630580000000001E-2</v>
      </c>
      <c r="W180" s="135">
        <v>1.3350041E-2</v>
      </c>
      <c r="X180" s="135">
        <v>1.0200657E-2</v>
      </c>
      <c r="Y180" s="136">
        <v>1.0152049999999999E-2</v>
      </c>
    </row>
    <row r="181" spans="1:25">
      <c r="A181" s="125" t="s">
        <v>46</v>
      </c>
      <c r="B181" t="s">
        <v>75</v>
      </c>
      <c r="C181" s="186" t="s">
        <v>125</v>
      </c>
      <c r="D181" t="s">
        <v>268</v>
      </c>
      <c r="E181" t="s">
        <v>376</v>
      </c>
      <c r="F181" s="134">
        <v>7.9679744108999984</v>
      </c>
      <c r="G181" s="135">
        <v>25.372305917200002</v>
      </c>
      <c r="H181" s="135">
        <v>55.717850766700003</v>
      </c>
      <c r="I181" s="135">
        <v>102.4811305649</v>
      </c>
      <c r="J181" s="136">
        <v>139.02547629656002</v>
      </c>
      <c r="K181" s="135">
        <v>0</v>
      </c>
      <c r="L181" s="135">
        <v>5.7396500000000007E-4</v>
      </c>
      <c r="M181" s="135">
        <v>1.088236E-3</v>
      </c>
      <c r="N181" s="135">
        <v>1.072635E-3</v>
      </c>
      <c r="O181" s="135">
        <v>1.0637839999999999E-3</v>
      </c>
      <c r="P181" s="134">
        <v>0</v>
      </c>
      <c r="Q181" s="135">
        <v>9.1399999999999999E-5</v>
      </c>
      <c r="R181" s="135">
        <v>1.1841450000000002E-3</v>
      </c>
      <c r="S181" s="135">
        <v>1.1373619999999998E-3</v>
      </c>
      <c r="T181" s="136">
        <v>1.0923880000000001E-3</v>
      </c>
      <c r="U181" s="135">
        <v>3.6827783000000003E-2</v>
      </c>
      <c r="V181" s="135">
        <v>0.19377926099999998</v>
      </c>
      <c r="W181" s="135">
        <v>0.27609709399999999</v>
      </c>
      <c r="X181" s="135">
        <v>0.34389092399999999</v>
      </c>
      <c r="Y181" s="136">
        <v>0.39979731400000001</v>
      </c>
    </row>
    <row r="182" spans="1:25">
      <c r="A182" s="125" t="s">
        <v>46</v>
      </c>
      <c r="B182" t="s">
        <v>75</v>
      </c>
      <c r="C182" s="186" t="s">
        <v>125</v>
      </c>
      <c r="D182" t="s">
        <v>270</v>
      </c>
      <c r="E182" t="s">
        <v>376</v>
      </c>
      <c r="F182" s="134">
        <v>0.90945313799999994</v>
      </c>
      <c r="G182" s="135">
        <v>2.7024485349999989</v>
      </c>
      <c r="H182" s="135">
        <v>5.9361284669999996</v>
      </c>
      <c r="I182" s="135">
        <v>11.095760760999998</v>
      </c>
      <c r="J182" s="136">
        <v>14.516322961099995</v>
      </c>
      <c r="K182" s="135">
        <v>0</v>
      </c>
      <c r="L182" s="135">
        <v>2.3560000000000001E-5</v>
      </c>
      <c r="M182" s="135">
        <v>6.224E-5</v>
      </c>
      <c r="N182" s="135">
        <v>6.0829999999999999E-5</v>
      </c>
      <c r="O182" s="135">
        <v>6.0019999999999998E-5</v>
      </c>
      <c r="P182" s="134">
        <v>0</v>
      </c>
      <c r="Q182" s="135">
        <v>2.7144999999999998E-5</v>
      </c>
      <c r="R182" s="135">
        <v>2.4150800000000001E-4</v>
      </c>
      <c r="S182" s="135">
        <v>2.3043700000000003E-4</v>
      </c>
      <c r="T182" s="136">
        <v>2.2002200000000003E-4</v>
      </c>
      <c r="U182" s="135">
        <v>1.1581495000000001E-2</v>
      </c>
      <c r="V182" s="135">
        <v>3.7162483999999996E-2</v>
      </c>
      <c r="W182" s="135">
        <v>4.0518204000000002E-2</v>
      </c>
      <c r="X182" s="135">
        <v>4.4535443999999993E-2</v>
      </c>
      <c r="Y182" s="136">
        <v>5.0363822000000003E-2</v>
      </c>
    </row>
    <row r="183" spans="1:25">
      <c r="A183" s="125" t="s">
        <v>46</v>
      </c>
      <c r="B183" t="s">
        <v>75</v>
      </c>
      <c r="C183" s="186" t="s">
        <v>129</v>
      </c>
      <c r="D183" t="s">
        <v>272</v>
      </c>
      <c r="E183" t="s">
        <v>376</v>
      </c>
      <c r="F183" s="134">
        <v>0.81423696000000001</v>
      </c>
      <c r="G183" s="135">
        <v>3.9014172610000002</v>
      </c>
      <c r="H183" s="135">
        <v>6.2675772929999995</v>
      </c>
      <c r="I183" s="135">
        <v>8.3201018260000001</v>
      </c>
      <c r="J183" s="136">
        <v>9.9229832899999977</v>
      </c>
      <c r="K183" s="135">
        <v>2.4394199999999998E-4</v>
      </c>
      <c r="L183" s="135">
        <v>2.4394199999999998E-4</v>
      </c>
      <c r="M183" s="135">
        <v>2.1472E-4</v>
      </c>
      <c r="N183" s="135">
        <v>1.77973E-4</v>
      </c>
      <c r="O183" s="135">
        <v>1.63141E-4</v>
      </c>
      <c r="P183" s="134">
        <v>0</v>
      </c>
      <c r="Q183" s="135">
        <v>0</v>
      </c>
      <c r="R183" s="135">
        <v>0</v>
      </c>
      <c r="S183" s="135">
        <v>0</v>
      </c>
      <c r="T183" s="136">
        <v>0</v>
      </c>
      <c r="U183" s="135">
        <v>2.4263654000000003E-2</v>
      </c>
      <c r="V183" s="135">
        <v>8.1352914999999998E-2</v>
      </c>
      <c r="W183" s="135">
        <v>9.1633249E-2</v>
      </c>
      <c r="X183" s="135">
        <v>0.102528813</v>
      </c>
      <c r="Y183" s="136">
        <v>0.11643963800000001</v>
      </c>
    </row>
    <row r="184" spans="1:25">
      <c r="A184" s="125" t="s">
        <v>46</v>
      </c>
      <c r="B184" t="s">
        <v>75</v>
      </c>
      <c r="C184" s="186" t="s">
        <v>129</v>
      </c>
      <c r="D184" t="s">
        <v>274</v>
      </c>
      <c r="E184" t="s">
        <v>376</v>
      </c>
      <c r="F184" s="134">
        <v>0.62604870700000004</v>
      </c>
      <c r="G184" s="135">
        <v>1.758845725</v>
      </c>
      <c r="H184" s="135">
        <v>4.118775318</v>
      </c>
      <c r="I184" s="135">
        <v>7.2645812969999994</v>
      </c>
      <c r="J184" s="136">
        <v>9.7891373399999981</v>
      </c>
      <c r="K184" s="135">
        <v>3.0320500000000002E-4</v>
      </c>
      <c r="L184" s="135">
        <v>3.0320500000000002E-4</v>
      </c>
      <c r="M184" s="135">
        <v>2.80036E-4</v>
      </c>
      <c r="N184" s="135">
        <v>2.5078900000000001E-4</v>
      </c>
      <c r="O184" s="135">
        <v>2.3900899999999999E-4</v>
      </c>
      <c r="P184" s="134">
        <v>0</v>
      </c>
      <c r="Q184" s="135">
        <v>0</v>
      </c>
      <c r="R184" s="135">
        <v>0</v>
      </c>
      <c r="S184" s="135">
        <v>0</v>
      </c>
      <c r="T184" s="136">
        <v>0</v>
      </c>
      <c r="U184" s="135">
        <v>1.9531566E-2</v>
      </c>
      <c r="V184" s="135">
        <v>4.9857485E-2</v>
      </c>
      <c r="W184" s="135">
        <v>4.3134738999999998E-2</v>
      </c>
      <c r="X184" s="135">
        <v>4.0187801000000002E-2</v>
      </c>
      <c r="Y184" s="136">
        <v>4.3202888999999994E-2</v>
      </c>
    </row>
    <row r="185" spans="1:25">
      <c r="A185" s="125" t="s">
        <v>46</v>
      </c>
      <c r="B185" t="s">
        <v>75</v>
      </c>
      <c r="C185" s="186" t="s">
        <v>129</v>
      </c>
      <c r="D185" t="s">
        <v>276</v>
      </c>
      <c r="E185" t="s">
        <v>376</v>
      </c>
      <c r="F185" s="134">
        <v>8.0872554999999985E-2</v>
      </c>
      <c r="G185" s="135">
        <v>0.21976006199999998</v>
      </c>
      <c r="H185" s="135">
        <v>0.42212277500000006</v>
      </c>
      <c r="I185" s="135">
        <v>0.89190169600000002</v>
      </c>
      <c r="J185" s="136">
        <v>1.3835397169999999</v>
      </c>
      <c r="K185" s="135">
        <v>0</v>
      </c>
      <c r="L185" s="135">
        <v>0</v>
      </c>
      <c r="M185" s="135">
        <v>3.3899999999999997E-5</v>
      </c>
      <c r="N185" s="135">
        <v>7.6599999999999992E-5</v>
      </c>
      <c r="O185" s="135">
        <v>9.3700000000000001E-5</v>
      </c>
      <c r="P185" s="134">
        <v>0</v>
      </c>
      <c r="Q185" s="135">
        <v>0</v>
      </c>
      <c r="R185" s="135">
        <v>0</v>
      </c>
      <c r="S185" s="135">
        <v>0</v>
      </c>
      <c r="T185" s="136">
        <v>0</v>
      </c>
      <c r="U185" s="135">
        <v>1.8942068000000003E-2</v>
      </c>
      <c r="V185" s="135">
        <v>4.9667503000000002E-2</v>
      </c>
      <c r="W185" s="135">
        <v>4.4433489999999999E-2</v>
      </c>
      <c r="X185" s="135">
        <v>4.2609647E-2</v>
      </c>
      <c r="Y185" s="136">
        <v>4.6288322E-2</v>
      </c>
    </row>
    <row r="186" spans="1:25">
      <c r="A186" s="125" t="s">
        <v>46</v>
      </c>
      <c r="B186" t="s">
        <v>75</v>
      </c>
      <c r="C186" s="186" t="s">
        <v>129</v>
      </c>
      <c r="D186" t="s">
        <v>278</v>
      </c>
      <c r="E186" t="s">
        <v>376</v>
      </c>
      <c r="F186" s="134">
        <v>0.75683736900000009</v>
      </c>
      <c r="G186" s="135">
        <v>2.1481186290000003</v>
      </c>
      <c r="H186" s="135">
        <v>4.9634292969999985</v>
      </c>
      <c r="I186" s="135">
        <v>9.007464087999999</v>
      </c>
      <c r="J186" s="136">
        <v>12.230835617999999</v>
      </c>
      <c r="K186" s="135">
        <v>1.9920399999999997E-4</v>
      </c>
      <c r="L186" s="135">
        <v>1.9920399999999997E-4</v>
      </c>
      <c r="M186" s="135">
        <v>1.7650200000000001E-4</v>
      </c>
      <c r="N186" s="135">
        <v>1.4790700000000002E-4</v>
      </c>
      <c r="O186" s="135">
        <v>1.3640000000000001E-4</v>
      </c>
      <c r="P186" s="134">
        <v>0</v>
      </c>
      <c r="Q186" s="135">
        <v>0</v>
      </c>
      <c r="R186" s="135">
        <v>0</v>
      </c>
      <c r="S186" s="135">
        <v>0</v>
      </c>
      <c r="T186" s="136">
        <v>0</v>
      </c>
      <c r="U186" s="135">
        <v>1.5726573000000001E-2</v>
      </c>
      <c r="V186" s="135">
        <v>4.7838394999999999E-2</v>
      </c>
      <c r="W186" s="135">
        <v>4.9842855000000005E-2</v>
      </c>
      <c r="X186" s="135">
        <v>5.3301168000000003E-2</v>
      </c>
      <c r="Y186" s="136">
        <v>5.9830696000000003E-2</v>
      </c>
    </row>
    <row r="187" spans="1:25">
      <c r="A187" s="125" t="s">
        <v>46</v>
      </c>
      <c r="B187" t="s">
        <v>75</v>
      </c>
      <c r="C187" s="186" t="s">
        <v>129</v>
      </c>
      <c r="D187" t="s">
        <v>280</v>
      </c>
      <c r="E187" t="s">
        <v>376</v>
      </c>
      <c r="F187" s="134">
        <v>0.13183840100000002</v>
      </c>
      <c r="G187" s="135">
        <v>0.44166355899999998</v>
      </c>
      <c r="H187" s="135">
        <v>0.80055384099999993</v>
      </c>
      <c r="I187" s="135">
        <v>1.4783613050000004</v>
      </c>
      <c r="J187" s="136">
        <v>2.1499901829999999</v>
      </c>
      <c r="K187" s="135">
        <v>0</v>
      </c>
      <c r="L187" s="135">
        <v>0</v>
      </c>
      <c r="M187" s="135">
        <v>2.459E-5</v>
      </c>
      <c r="N187" s="135">
        <v>5.5500000000000001E-5</v>
      </c>
      <c r="O187" s="135">
        <v>6.7909999999999992E-5</v>
      </c>
      <c r="P187" s="134">
        <v>0</v>
      </c>
      <c r="Q187" s="135">
        <v>0</v>
      </c>
      <c r="R187" s="135">
        <v>0</v>
      </c>
      <c r="S187" s="135">
        <v>0</v>
      </c>
      <c r="T187" s="136">
        <v>0</v>
      </c>
      <c r="U187" s="135">
        <v>1.2761112999999999E-2</v>
      </c>
      <c r="V187" s="135">
        <v>2.9153385E-2</v>
      </c>
      <c r="W187" s="135">
        <v>2.1467053999999999E-2</v>
      </c>
      <c r="X187" s="135">
        <v>1.6954779999999999E-2</v>
      </c>
      <c r="Y187" s="136">
        <v>1.7104273999999999E-2</v>
      </c>
    </row>
    <row r="188" spans="1:25">
      <c r="A188" s="125" t="s">
        <v>46</v>
      </c>
      <c r="B188" t="s">
        <v>75</v>
      </c>
      <c r="C188" s="186" t="s">
        <v>129</v>
      </c>
      <c r="D188" t="s">
        <v>282</v>
      </c>
      <c r="E188" t="s">
        <v>376</v>
      </c>
      <c r="F188" s="134">
        <v>1.3791694000000001</v>
      </c>
      <c r="G188" s="135">
        <v>3.9488935010000006</v>
      </c>
      <c r="H188" s="135">
        <v>9.2783676600000007</v>
      </c>
      <c r="I188" s="135">
        <v>16.018171335000002</v>
      </c>
      <c r="J188" s="136">
        <v>21.159267442999997</v>
      </c>
      <c r="K188" s="135">
        <v>1.8996099999999999E-4</v>
      </c>
      <c r="L188" s="135">
        <v>1.8996099999999999E-4</v>
      </c>
      <c r="M188" s="135">
        <v>1.7464800000000001E-4</v>
      </c>
      <c r="N188" s="135">
        <v>1.5534199999999999E-4</v>
      </c>
      <c r="O188" s="135">
        <v>1.47572E-4</v>
      </c>
      <c r="P188" s="134">
        <v>0</v>
      </c>
      <c r="Q188" s="135">
        <v>0</v>
      </c>
      <c r="R188" s="135">
        <v>0</v>
      </c>
      <c r="S188" s="135">
        <v>0</v>
      </c>
      <c r="T188" s="136">
        <v>0</v>
      </c>
      <c r="U188" s="135">
        <v>8.9151540000000015E-3</v>
      </c>
      <c r="V188" s="135">
        <v>2.158819E-2</v>
      </c>
      <c r="W188" s="135">
        <v>1.7390906000000001E-2</v>
      </c>
      <c r="X188" s="135">
        <v>1.5154078E-2</v>
      </c>
      <c r="Y188" s="136">
        <v>1.5895439000000001E-2</v>
      </c>
    </row>
    <row r="189" spans="1:25">
      <c r="A189" s="125" t="s">
        <v>46</v>
      </c>
      <c r="B189" t="s">
        <v>75</v>
      </c>
      <c r="C189" s="186" t="s">
        <v>129</v>
      </c>
      <c r="D189" t="s">
        <v>284</v>
      </c>
      <c r="E189" t="s">
        <v>376</v>
      </c>
      <c r="F189" s="134">
        <v>0.70233174499999984</v>
      </c>
      <c r="G189" s="135">
        <v>2.0588015479999999</v>
      </c>
      <c r="H189" s="135">
        <v>4.6351683180000007</v>
      </c>
      <c r="I189" s="135">
        <v>9.0888962709999976</v>
      </c>
      <c r="J189" s="136">
        <v>12.808021483000001</v>
      </c>
      <c r="K189" s="135">
        <v>0</v>
      </c>
      <c r="L189" s="135">
        <v>0</v>
      </c>
      <c r="M189" s="135">
        <v>3.1999999999999999E-5</v>
      </c>
      <c r="N189" s="135">
        <v>7.2199999999999993E-5</v>
      </c>
      <c r="O189" s="135">
        <v>8.8415E-5</v>
      </c>
      <c r="P189" s="134">
        <v>0</v>
      </c>
      <c r="Q189" s="135">
        <v>0</v>
      </c>
      <c r="R189" s="135">
        <v>0</v>
      </c>
      <c r="S189" s="135">
        <v>0</v>
      </c>
      <c r="T189" s="136">
        <v>0</v>
      </c>
      <c r="U189" s="135">
        <v>1.3692412000000001E-2</v>
      </c>
      <c r="V189" s="135">
        <v>7.4819141000000006E-2</v>
      </c>
      <c r="W189" s="135">
        <v>0.107751239</v>
      </c>
      <c r="X189" s="135">
        <v>0.134359487</v>
      </c>
      <c r="Y189" s="136">
        <v>0.155645964</v>
      </c>
    </row>
    <row r="190" spans="1:25">
      <c r="A190" s="125" t="s">
        <v>46</v>
      </c>
      <c r="B190" t="s">
        <v>75</v>
      </c>
      <c r="C190" s="186" t="s">
        <v>288</v>
      </c>
      <c r="D190" t="s">
        <v>286</v>
      </c>
      <c r="E190" t="s">
        <v>376</v>
      </c>
      <c r="F190" s="134">
        <v>1.0716974229999998</v>
      </c>
      <c r="G190" s="135">
        <v>3.0785572480000005</v>
      </c>
      <c r="H190" s="135">
        <v>5.8555664629999997</v>
      </c>
      <c r="I190" s="135">
        <v>10.797061858999998</v>
      </c>
      <c r="J190" s="136">
        <v>14.476636381999999</v>
      </c>
      <c r="K190" s="135">
        <v>0</v>
      </c>
      <c r="L190" s="135">
        <v>0</v>
      </c>
      <c r="M190" s="135">
        <v>0</v>
      </c>
      <c r="N190" s="135">
        <v>7.4370000000000008E-5</v>
      </c>
      <c r="O190" s="135">
        <v>1.47942E-4</v>
      </c>
      <c r="P190" s="134">
        <v>0</v>
      </c>
      <c r="Q190" s="135">
        <v>5.8697199999999995E-4</v>
      </c>
      <c r="R190" s="135">
        <v>9.83259E-4</v>
      </c>
      <c r="S190" s="135">
        <v>1.2753719999999999E-3</v>
      </c>
      <c r="T190" s="136">
        <v>2.2323149999999999E-3</v>
      </c>
      <c r="U190" s="135">
        <v>8.4908709999999998E-2</v>
      </c>
      <c r="V190" s="135">
        <v>0.48625202499999998</v>
      </c>
      <c r="W190" s="135">
        <v>0.71395646099999999</v>
      </c>
      <c r="X190" s="135">
        <v>0.89984270899999996</v>
      </c>
      <c r="Y190" s="136">
        <v>1.0493008640000001</v>
      </c>
    </row>
    <row r="191" spans="1:25">
      <c r="A191" s="125" t="s">
        <v>46</v>
      </c>
      <c r="B191" t="s">
        <v>75</v>
      </c>
      <c r="C191" s="186" t="s">
        <v>288</v>
      </c>
      <c r="D191" t="s">
        <v>289</v>
      </c>
      <c r="E191" t="s">
        <v>376</v>
      </c>
      <c r="F191" s="134">
        <v>6.5623099999999999E-5</v>
      </c>
      <c r="G191" s="135">
        <v>1.4064971999999998E-4</v>
      </c>
      <c r="H191" s="135">
        <v>2.8406556E-4</v>
      </c>
      <c r="I191" s="135">
        <v>1.073348278E-3</v>
      </c>
      <c r="J191" s="136">
        <v>2.5407490000000001E-3</v>
      </c>
      <c r="K191" s="135">
        <v>0</v>
      </c>
      <c r="L191" s="135">
        <v>0</v>
      </c>
      <c r="M191" s="135">
        <v>0</v>
      </c>
      <c r="N191" s="135">
        <v>0</v>
      </c>
      <c r="O191" s="135">
        <v>0</v>
      </c>
      <c r="P191" s="134">
        <v>0</v>
      </c>
      <c r="Q191" s="135">
        <v>3.1700000000000001E-6</v>
      </c>
      <c r="R191" s="135">
        <v>5.1258000000000001E-6</v>
      </c>
      <c r="S191" s="135">
        <v>2.0913399999999999E-5</v>
      </c>
      <c r="T191" s="136">
        <v>3.7231999999999999E-5</v>
      </c>
      <c r="U191" s="135">
        <v>3.62349E-3</v>
      </c>
      <c r="V191" s="135">
        <v>2.4221537000000001E-2</v>
      </c>
      <c r="W191" s="135">
        <v>3.7245871E-2</v>
      </c>
      <c r="X191" s="135">
        <v>4.7733112000000001E-2</v>
      </c>
      <c r="Y191" s="136">
        <v>5.5858893E-2</v>
      </c>
    </row>
    <row r="192" spans="1:25">
      <c r="A192" s="125" t="s">
        <v>46</v>
      </c>
      <c r="B192" t="s">
        <v>75</v>
      </c>
      <c r="C192" s="186" t="s">
        <v>288</v>
      </c>
      <c r="D192" t="s">
        <v>291</v>
      </c>
      <c r="E192" t="s">
        <v>376</v>
      </c>
      <c r="F192" s="134">
        <v>6.94803E-5</v>
      </c>
      <c r="G192" s="135">
        <v>1.2066249999999999E-4</v>
      </c>
      <c r="H192" s="135">
        <v>2.0021779999999999E-4</v>
      </c>
      <c r="I192" s="135">
        <v>6.5075483299999995E-4</v>
      </c>
      <c r="J192" s="136">
        <v>1.4563270000000001E-3</v>
      </c>
      <c r="K192" s="135">
        <v>0</v>
      </c>
      <c r="L192" s="135">
        <v>0</v>
      </c>
      <c r="M192" s="135">
        <v>0</v>
      </c>
      <c r="N192" s="135">
        <v>0</v>
      </c>
      <c r="O192" s="135">
        <v>0</v>
      </c>
      <c r="P192" s="134">
        <v>0</v>
      </c>
      <c r="Q192" s="135">
        <v>2.8950000000000002E-6</v>
      </c>
      <c r="R192" s="135">
        <v>5.1831999999999998E-6</v>
      </c>
      <c r="S192" s="135">
        <v>2.56038E-5</v>
      </c>
      <c r="T192" s="136">
        <v>4.5695999999999998E-5</v>
      </c>
      <c r="U192" s="135">
        <v>4.2601870000000003E-3</v>
      </c>
      <c r="V192" s="135">
        <v>2.8494273000000001E-2</v>
      </c>
      <c r="W192" s="135">
        <v>4.3845424000000001E-2</v>
      </c>
      <c r="X192" s="135">
        <v>5.6238512999999997E-2</v>
      </c>
      <c r="Y192" s="136">
        <v>6.5885920000000001E-2</v>
      </c>
    </row>
    <row r="193" spans="1:25">
      <c r="A193" s="125" t="s">
        <v>46</v>
      </c>
      <c r="B193" t="s">
        <v>75</v>
      </c>
      <c r="C193" s="186" t="s">
        <v>347</v>
      </c>
      <c r="D193" t="s">
        <v>345</v>
      </c>
      <c r="E193" t="s">
        <v>376</v>
      </c>
      <c r="F193" s="134">
        <v>0.19264232799999997</v>
      </c>
      <c r="G193" s="135">
        <v>0.50568110399999999</v>
      </c>
      <c r="H193" s="135">
        <v>0.71174985200000007</v>
      </c>
      <c r="I193" s="135">
        <v>1.1227119229999998</v>
      </c>
      <c r="J193" s="136">
        <v>1.2286772529999999</v>
      </c>
      <c r="K193" s="135">
        <v>0</v>
      </c>
      <c r="L193" s="135">
        <v>0</v>
      </c>
      <c r="M193" s="135">
        <v>0</v>
      </c>
      <c r="N193" s="135">
        <v>0</v>
      </c>
      <c r="O193" s="135">
        <v>0</v>
      </c>
      <c r="P193" s="134">
        <v>0</v>
      </c>
      <c r="Q193" s="135">
        <v>0</v>
      </c>
      <c r="R193" s="135">
        <v>0</v>
      </c>
      <c r="S193" s="135">
        <v>0</v>
      </c>
      <c r="T193" s="136">
        <v>0</v>
      </c>
      <c r="U193" s="135">
        <v>7.326857E-3</v>
      </c>
      <c r="V193" s="135">
        <v>2.2482771999999998E-2</v>
      </c>
      <c r="W193" s="135">
        <v>2.3588418E-2</v>
      </c>
      <c r="X193" s="135">
        <v>2.5311896E-2</v>
      </c>
      <c r="Y193" s="136">
        <v>2.8404663E-2</v>
      </c>
    </row>
    <row r="194" spans="1:25">
      <c r="A194" s="125" t="s">
        <v>46</v>
      </c>
      <c r="B194" t="s">
        <v>75</v>
      </c>
      <c r="C194" s="186" t="s">
        <v>347</v>
      </c>
      <c r="D194" t="s">
        <v>348</v>
      </c>
      <c r="E194" t="s">
        <v>376</v>
      </c>
      <c r="F194" s="134">
        <v>0.38036864999999992</v>
      </c>
      <c r="G194" s="135">
        <v>2.1184436109999996</v>
      </c>
      <c r="H194" s="135">
        <v>3.9846649690000007</v>
      </c>
      <c r="I194" s="135">
        <v>7.1314063099999991</v>
      </c>
      <c r="J194" s="136">
        <v>10.784156863999998</v>
      </c>
      <c r="K194" s="135">
        <v>0</v>
      </c>
      <c r="L194" s="135">
        <v>0</v>
      </c>
      <c r="M194" s="135">
        <v>0</v>
      </c>
      <c r="N194" s="135">
        <v>0</v>
      </c>
      <c r="O194" s="135">
        <v>0</v>
      </c>
      <c r="P194" s="134">
        <v>0</v>
      </c>
      <c r="Q194" s="135">
        <v>0</v>
      </c>
      <c r="R194" s="135">
        <v>0</v>
      </c>
      <c r="S194" s="135">
        <v>0</v>
      </c>
      <c r="T194" s="136">
        <v>0</v>
      </c>
      <c r="U194" s="135">
        <v>2.9814380000000003E-3</v>
      </c>
      <c r="V194" s="135">
        <v>9.9575600000000007E-3</v>
      </c>
      <c r="W194" s="135">
        <v>1.1149847000000001E-2</v>
      </c>
      <c r="X194" s="135">
        <v>1.2392856000000001E-2</v>
      </c>
      <c r="Y194" s="136">
        <v>1.3987624000000001E-2</v>
      </c>
    </row>
    <row r="195" spans="1:25">
      <c r="A195" s="125" t="s">
        <v>46</v>
      </c>
      <c r="B195" t="s">
        <v>75</v>
      </c>
      <c r="C195" s="186" t="s">
        <v>347</v>
      </c>
      <c r="D195" t="s">
        <v>350</v>
      </c>
      <c r="E195" t="s">
        <v>376</v>
      </c>
      <c r="F195" s="134">
        <v>0.92465080599999994</v>
      </c>
      <c r="G195" s="135">
        <v>2.6863621729999996</v>
      </c>
      <c r="H195" s="135">
        <v>5.6712609829999998</v>
      </c>
      <c r="I195" s="135">
        <v>10.830826123</v>
      </c>
      <c r="J195" s="136">
        <v>14.807813245</v>
      </c>
      <c r="K195" s="135">
        <v>0</v>
      </c>
      <c r="L195" s="135">
        <v>0</v>
      </c>
      <c r="M195" s="135">
        <v>0</v>
      </c>
      <c r="N195" s="135">
        <v>0</v>
      </c>
      <c r="O195" s="135">
        <v>0</v>
      </c>
      <c r="P195" s="134">
        <v>0</v>
      </c>
      <c r="Q195" s="135">
        <v>0</v>
      </c>
      <c r="R195" s="135">
        <v>0</v>
      </c>
      <c r="S195" s="135">
        <v>0</v>
      </c>
      <c r="T195" s="136">
        <v>0</v>
      </c>
      <c r="U195" s="135">
        <v>1.5480532E-2</v>
      </c>
      <c r="V195" s="135">
        <v>5.7493071999999992E-2</v>
      </c>
      <c r="W195" s="135">
        <v>6.9240884000000003E-2</v>
      </c>
      <c r="X195" s="135">
        <v>8.0039470000000001E-2</v>
      </c>
      <c r="Y195" s="136">
        <v>9.1365498000000003E-2</v>
      </c>
    </row>
    <row r="196" spans="1:25">
      <c r="A196" s="125" t="s">
        <v>46</v>
      </c>
      <c r="B196" t="s">
        <v>75</v>
      </c>
      <c r="C196" s="186" t="s">
        <v>347</v>
      </c>
      <c r="D196" t="s">
        <v>352</v>
      </c>
      <c r="E196" t="s">
        <v>376</v>
      </c>
      <c r="F196" s="134">
        <v>3.0460404000000003E-2</v>
      </c>
      <c r="G196" s="135">
        <v>6.4059571999999995E-2</v>
      </c>
      <c r="H196" s="135">
        <v>0.114662922</v>
      </c>
      <c r="I196" s="135">
        <v>0.235909378</v>
      </c>
      <c r="J196" s="136">
        <v>0.294027539</v>
      </c>
      <c r="K196" s="135">
        <v>0</v>
      </c>
      <c r="L196" s="135">
        <v>0</v>
      </c>
      <c r="M196" s="135">
        <v>0</v>
      </c>
      <c r="N196" s="135">
        <v>0</v>
      </c>
      <c r="O196" s="135">
        <v>0</v>
      </c>
      <c r="P196" s="134">
        <v>0</v>
      </c>
      <c r="Q196" s="135">
        <v>0</v>
      </c>
      <c r="R196" s="135">
        <v>0</v>
      </c>
      <c r="S196" s="135">
        <v>0</v>
      </c>
      <c r="T196" s="136">
        <v>0</v>
      </c>
      <c r="U196" s="135">
        <v>7.1478849999999997E-3</v>
      </c>
      <c r="V196" s="135">
        <v>1.9376995000000001E-2</v>
      </c>
      <c r="W196" s="135">
        <v>1.8005818999999999E-2</v>
      </c>
      <c r="X196" s="135">
        <v>1.7783767999999998E-2</v>
      </c>
      <c r="Y196" s="136">
        <v>1.9492427999999999E-2</v>
      </c>
    </row>
    <row r="197" spans="1:25">
      <c r="A197" s="125" t="s">
        <v>46</v>
      </c>
      <c r="B197" t="s">
        <v>75</v>
      </c>
      <c r="C197" s="186" t="s">
        <v>131</v>
      </c>
      <c r="D197" t="s">
        <v>314</v>
      </c>
      <c r="E197" t="s">
        <v>376</v>
      </c>
      <c r="F197" s="134">
        <v>0.23396157700000003</v>
      </c>
      <c r="G197" s="135">
        <v>0.69333079299999978</v>
      </c>
      <c r="H197" s="135">
        <v>1.018939694</v>
      </c>
      <c r="I197" s="135">
        <v>1.747123983</v>
      </c>
      <c r="J197" s="136">
        <v>2.4619578009999996</v>
      </c>
      <c r="K197" s="135">
        <v>0</v>
      </c>
      <c r="L197" s="135">
        <v>0</v>
      </c>
      <c r="M197" s="135">
        <v>0</v>
      </c>
      <c r="N197" s="135">
        <v>0</v>
      </c>
      <c r="O197" s="135">
        <v>0</v>
      </c>
      <c r="P197" s="134">
        <v>0</v>
      </c>
      <c r="Q197" s="135">
        <v>8.9500000000000007E-5</v>
      </c>
      <c r="R197" s="135">
        <v>8.9999999999999992E-5</v>
      </c>
      <c r="S197" s="135">
        <v>9.0400000000000002E-5</v>
      </c>
      <c r="T197" s="136">
        <v>9.0699999999999996E-5</v>
      </c>
      <c r="U197" s="135">
        <v>0.29851144600000001</v>
      </c>
      <c r="V197" s="135">
        <v>1.970024963</v>
      </c>
      <c r="W197" s="135">
        <v>3.0195805249999998</v>
      </c>
      <c r="X197" s="135">
        <v>3.8661761220000002</v>
      </c>
      <c r="Y197" s="136">
        <v>4.524482152</v>
      </c>
    </row>
    <row r="198" spans="1:25">
      <c r="A198" s="125" t="s">
        <v>46</v>
      </c>
      <c r="B198" t="s">
        <v>75</v>
      </c>
      <c r="C198" s="186" t="s">
        <v>131</v>
      </c>
      <c r="D198" t="s">
        <v>316</v>
      </c>
      <c r="E198" t="s">
        <v>376</v>
      </c>
      <c r="F198" s="134">
        <v>1.6182824409999998</v>
      </c>
      <c r="G198" s="135">
        <v>4.5692781550000001</v>
      </c>
      <c r="H198" s="135">
        <v>10.091008724000002</v>
      </c>
      <c r="I198" s="135">
        <v>19.509590798999994</v>
      </c>
      <c r="J198" s="136">
        <v>26.989162108999999</v>
      </c>
      <c r="K198" s="135">
        <v>0</v>
      </c>
      <c r="L198" s="135">
        <v>0</v>
      </c>
      <c r="M198" s="135">
        <v>0</v>
      </c>
      <c r="N198" s="135">
        <v>0</v>
      </c>
      <c r="O198" s="135">
        <v>0</v>
      </c>
      <c r="P198" s="134">
        <v>0</v>
      </c>
      <c r="Q198" s="135">
        <v>7.6009999999999999E-5</v>
      </c>
      <c r="R198" s="135">
        <v>7.6130000000000005E-5</v>
      </c>
      <c r="S198" s="135">
        <v>7.6359999999999994E-5</v>
      </c>
      <c r="T198" s="136">
        <v>7.6500000000000003E-5</v>
      </c>
      <c r="U198" s="135">
        <v>0.105227454</v>
      </c>
      <c r="V198" s="135">
        <v>0.66934115399999994</v>
      </c>
      <c r="W198" s="135">
        <v>1.0145420949999999</v>
      </c>
      <c r="X198" s="135">
        <v>1.2932486919999999</v>
      </c>
      <c r="Y198" s="136">
        <v>1.511484407</v>
      </c>
    </row>
    <row r="199" spans="1:25">
      <c r="A199" s="125" t="s">
        <v>46</v>
      </c>
      <c r="B199" t="s">
        <v>75</v>
      </c>
      <c r="C199" s="186" t="s">
        <v>131</v>
      </c>
      <c r="D199" t="s">
        <v>318</v>
      </c>
      <c r="E199" t="s">
        <v>376</v>
      </c>
      <c r="F199" s="134">
        <v>0.32036980100000001</v>
      </c>
      <c r="G199" s="135">
        <v>0.87783289099999995</v>
      </c>
      <c r="H199" s="135">
        <v>1.05760699</v>
      </c>
      <c r="I199" s="135">
        <v>1.6059437480000001</v>
      </c>
      <c r="J199" s="136">
        <v>2.2395146590000001</v>
      </c>
      <c r="K199" s="135">
        <v>0</v>
      </c>
      <c r="L199" s="135">
        <v>0</v>
      </c>
      <c r="M199" s="135">
        <v>0</v>
      </c>
      <c r="N199" s="135">
        <v>0</v>
      </c>
      <c r="O199" s="135">
        <v>0</v>
      </c>
      <c r="P199" s="134">
        <v>0</v>
      </c>
      <c r="Q199" s="135">
        <v>3.6510000000000001E-5</v>
      </c>
      <c r="R199" s="135">
        <v>3.5840000000000002E-5</v>
      </c>
      <c r="S199" s="135">
        <v>3.5310000000000006E-5</v>
      </c>
      <c r="T199" s="136">
        <v>3.4910000000000003E-5</v>
      </c>
      <c r="U199" s="135">
        <v>3.2655909999999996E-2</v>
      </c>
      <c r="V199" s="135">
        <v>0.21563763399999999</v>
      </c>
      <c r="W199" s="135">
        <v>0.33073982500000004</v>
      </c>
      <c r="X199" s="135">
        <v>0.42379547000000001</v>
      </c>
      <c r="Y199" s="136">
        <v>0.49636381300000004</v>
      </c>
    </row>
    <row r="200" spans="1:25">
      <c r="A200" s="125" t="s">
        <v>46</v>
      </c>
      <c r="B200" t="s">
        <v>75</v>
      </c>
      <c r="C200" s="186" t="s">
        <v>298</v>
      </c>
      <c r="D200" t="s">
        <v>296</v>
      </c>
      <c r="E200" t="s">
        <v>376</v>
      </c>
      <c r="F200" s="134">
        <v>0.303055291</v>
      </c>
      <c r="G200" s="135">
        <v>0.86330465599999995</v>
      </c>
      <c r="H200" s="135">
        <v>1.3805520629999997</v>
      </c>
      <c r="I200" s="135">
        <v>1.9680773519999997</v>
      </c>
      <c r="J200" s="136">
        <v>2.2067504759999998</v>
      </c>
      <c r="K200" s="135">
        <v>0</v>
      </c>
      <c r="L200" s="135">
        <v>0</v>
      </c>
      <c r="M200" s="135">
        <v>0</v>
      </c>
      <c r="N200" s="135">
        <v>0</v>
      </c>
      <c r="O200" s="135">
        <v>0</v>
      </c>
      <c r="P200" s="134">
        <v>0</v>
      </c>
      <c r="Q200" s="135">
        <v>2.7190000000000002E-5</v>
      </c>
      <c r="R200" s="135">
        <v>2.7190000000000002E-5</v>
      </c>
      <c r="S200" s="135">
        <v>2.7190000000000002E-5</v>
      </c>
      <c r="T200" s="136">
        <v>2.7190000000000002E-5</v>
      </c>
      <c r="U200" s="135">
        <v>1.5046760999999999E-2</v>
      </c>
      <c r="V200" s="135">
        <v>7.2639746000000005E-2</v>
      </c>
      <c r="W200" s="135">
        <v>0.10008721200000001</v>
      </c>
      <c r="X200" s="135">
        <v>0.123041214</v>
      </c>
      <c r="Y200" s="136">
        <v>0.14266542300000001</v>
      </c>
    </row>
    <row r="201" spans="1:25">
      <c r="A201" s="125" t="s">
        <v>46</v>
      </c>
      <c r="B201" t="s">
        <v>75</v>
      </c>
      <c r="C201" s="186" t="s">
        <v>295</v>
      </c>
      <c r="D201" t="s">
        <v>293</v>
      </c>
      <c r="E201" t="s">
        <v>376</v>
      </c>
      <c r="F201" s="134">
        <v>1.7679981000000002</v>
      </c>
      <c r="G201" s="135">
        <v>6.3571705620000003</v>
      </c>
      <c r="H201" s="135">
        <v>11.410179579999999</v>
      </c>
      <c r="I201" s="135">
        <v>17.707821255000002</v>
      </c>
      <c r="J201" s="136">
        <v>21.814287702000001</v>
      </c>
      <c r="K201" s="135">
        <v>0</v>
      </c>
      <c r="L201" s="135">
        <v>0</v>
      </c>
      <c r="M201" s="135">
        <v>0</v>
      </c>
      <c r="N201" s="135">
        <v>0</v>
      </c>
      <c r="O201" s="135">
        <v>0</v>
      </c>
      <c r="P201" s="134">
        <v>0</v>
      </c>
      <c r="Q201" s="135">
        <v>0</v>
      </c>
      <c r="R201" s="135">
        <v>0</v>
      </c>
      <c r="S201" s="135">
        <v>0</v>
      </c>
      <c r="T201" s="136">
        <v>0</v>
      </c>
      <c r="U201" s="135">
        <v>2.5470942999999999E-2</v>
      </c>
      <c r="V201" s="135">
        <v>0.12757006199999998</v>
      </c>
      <c r="W201" s="135">
        <v>0.17842717999999999</v>
      </c>
      <c r="X201" s="135">
        <v>0.220685559</v>
      </c>
      <c r="Y201" s="136">
        <v>0.256244272</v>
      </c>
    </row>
    <row r="202" spans="1:25">
      <c r="A202" s="125" t="s">
        <v>46</v>
      </c>
      <c r="B202" t="s">
        <v>75</v>
      </c>
      <c r="C202" s="186" t="s">
        <v>322</v>
      </c>
      <c r="D202" t="s">
        <v>320</v>
      </c>
      <c r="E202" t="s">
        <v>376</v>
      </c>
      <c r="F202" s="134">
        <v>0.49069614820000002</v>
      </c>
      <c r="G202" s="135">
        <v>1.7786614570000001</v>
      </c>
      <c r="H202" s="135">
        <v>2.9147232170000001</v>
      </c>
      <c r="I202" s="135">
        <v>4.2016509139999991</v>
      </c>
      <c r="J202" s="136">
        <v>4.8741985019999996</v>
      </c>
      <c r="K202" s="135">
        <v>0</v>
      </c>
      <c r="L202" s="135">
        <v>0</v>
      </c>
      <c r="M202" s="135">
        <v>3.9649999999999995E-5</v>
      </c>
      <c r="N202" s="135">
        <v>1.5769699999999999E-4</v>
      </c>
      <c r="O202" s="135">
        <v>1.8728000000000001E-4</v>
      </c>
      <c r="P202" s="134">
        <v>0</v>
      </c>
      <c r="Q202" s="135">
        <v>0</v>
      </c>
      <c r="R202" s="135">
        <v>0</v>
      </c>
      <c r="S202" s="135">
        <v>0</v>
      </c>
      <c r="T202" s="136">
        <v>0</v>
      </c>
      <c r="U202" s="135">
        <v>4.9324779999999997E-3</v>
      </c>
      <c r="V202" s="135">
        <v>2.9317554000000003E-2</v>
      </c>
      <c r="W202" s="135">
        <v>4.3567134E-2</v>
      </c>
      <c r="X202" s="135">
        <v>5.5157803000000005E-2</v>
      </c>
      <c r="Y202" s="136">
        <v>6.4386434999999992E-2</v>
      </c>
    </row>
    <row r="203" spans="1:25">
      <c r="A203" s="125" t="s">
        <v>46</v>
      </c>
      <c r="B203" t="s">
        <v>75</v>
      </c>
      <c r="C203" s="186" t="s">
        <v>322</v>
      </c>
      <c r="D203" t="s">
        <v>323</v>
      </c>
      <c r="E203" t="s">
        <v>376</v>
      </c>
      <c r="F203" s="134">
        <v>1.018539498</v>
      </c>
      <c r="G203" s="135">
        <v>2.6666942709999994</v>
      </c>
      <c r="H203" s="135">
        <v>5.7988679970000012</v>
      </c>
      <c r="I203" s="135">
        <v>11.324804836</v>
      </c>
      <c r="J203" s="136">
        <v>15.753819308000001</v>
      </c>
      <c r="K203" s="135">
        <v>0</v>
      </c>
      <c r="L203" s="135">
        <v>1.585773E-3</v>
      </c>
      <c r="M203" s="135">
        <v>1.6957510000000001E-3</v>
      </c>
      <c r="N203" s="135">
        <v>2.244715E-3</v>
      </c>
      <c r="O203" s="135">
        <v>2.2216930000000003E-3</v>
      </c>
      <c r="P203" s="134">
        <v>0</v>
      </c>
      <c r="Q203" s="135">
        <v>0</v>
      </c>
      <c r="R203" s="135">
        <v>0</v>
      </c>
      <c r="S203" s="135">
        <v>0</v>
      </c>
      <c r="T203" s="136">
        <v>0</v>
      </c>
      <c r="U203" s="135">
        <v>3.5807320000000004E-2</v>
      </c>
      <c r="V203" s="135">
        <v>0.19801073</v>
      </c>
      <c r="W203" s="135">
        <v>0.28731789600000002</v>
      </c>
      <c r="X203" s="135">
        <v>0.36051498100000001</v>
      </c>
      <c r="Y203" s="136">
        <v>0.41998485199999996</v>
      </c>
    </row>
    <row r="204" spans="1:25">
      <c r="A204" s="125" t="s">
        <v>46</v>
      </c>
      <c r="B204" t="s">
        <v>75</v>
      </c>
      <c r="C204" s="186" t="s">
        <v>322</v>
      </c>
      <c r="D204" t="s">
        <v>325</v>
      </c>
      <c r="E204" t="s">
        <v>376</v>
      </c>
      <c r="F204" s="134">
        <v>2.0387624980000001</v>
      </c>
      <c r="G204" s="135">
        <v>6.585172129</v>
      </c>
      <c r="H204" s="135">
        <v>13.244455682</v>
      </c>
      <c r="I204" s="135">
        <v>23.644677492000003</v>
      </c>
      <c r="J204" s="136">
        <v>31.740642122999997</v>
      </c>
      <c r="K204" s="135">
        <v>0</v>
      </c>
      <c r="L204" s="135">
        <v>2.90878E-4</v>
      </c>
      <c r="M204" s="135">
        <v>2.23212E-4</v>
      </c>
      <c r="N204" s="135">
        <v>3.8300300000000003E-4</v>
      </c>
      <c r="O204" s="135">
        <v>3.6764799999999999E-4</v>
      </c>
      <c r="P204" s="134">
        <v>0</v>
      </c>
      <c r="Q204" s="135">
        <v>0</v>
      </c>
      <c r="R204" s="135">
        <v>0</v>
      </c>
      <c r="S204" s="135">
        <v>0</v>
      </c>
      <c r="T204" s="136">
        <v>0</v>
      </c>
      <c r="U204" s="135">
        <v>1.0501673999999999E-2</v>
      </c>
      <c r="V204" s="135">
        <v>4.2770146000000002E-2</v>
      </c>
      <c r="W204" s="135">
        <v>5.4364002000000002E-2</v>
      </c>
      <c r="X204" s="135">
        <v>6.4529371000000002E-2</v>
      </c>
      <c r="Y204" s="136">
        <v>7.4200223999999995E-2</v>
      </c>
    </row>
    <row r="205" spans="1:25">
      <c r="A205" s="125" t="s">
        <v>46</v>
      </c>
      <c r="B205" t="s">
        <v>75</v>
      </c>
      <c r="C205" s="186" t="s">
        <v>322</v>
      </c>
      <c r="D205" t="s">
        <v>327</v>
      </c>
      <c r="E205" t="s">
        <v>376</v>
      </c>
      <c r="F205" s="134">
        <v>0.12357609599999998</v>
      </c>
      <c r="G205" s="135">
        <v>0.25066955200000007</v>
      </c>
      <c r="H205" s="135">
        <v>0.47553524200000008</v>
      </c>
      <c r="I205" s="135">
        <v>0.90387874800000001</v>
      </c>
      <c r="J205" s="136">
        <v>1.2930650590000001</v>
      </c>
      <c r="K205" s="135">
        <v>0</v>
      </c>
      <c r="L205" s="135">
        <v>0</v>
      </c>
      <c r="M205" s="135">
        <v>6.6320000000000002E-5</v>
      </c>
      <c r="N205" s="135">
        <v>2.6361400000000001E-4</v>
      </c>
      <c r="O205" s="135">
        <v>3.1309400000000004E-4</v>
      </c>
      <c r="P205" s="134">
        <v>0</v>
      </c>
      <c r="Q205" s="135">
        <v>0</v>
      </c>
      <c r="R205" s="135">
        <v>0</v>
      </c>
      <c r="S205" s="135">
        <v>0</v>
      </c>
      <c r="T205" s="136">
        <v>0</v>
      </c>
      <c r="U205" s="135">
        <v>6.7314290000000006E-3</v>
      </c>
      <c r="V205" s="135">
        <v>3.238742E-2</v>
      </c>
      <c r="W205" s="135">
        <v>4.4562319999999996E-2</v>
      </c>
      <c r="X205" s="135">
        <v>5.4750518999999997E-2</v>
      </c>
      <c r="Y205" s="136">
        <v>6.3474285000000005E-2</v>
      </c>
    </row>
    <row r="206" spans="1:25">
      <c r="A206" s="125" t="s">
        <v>46</v>
      </c>
      <c r="B206" t="s">
        <v>75</v>
      </c>
      <c r="C206" s="186" t="s">
        <v>322</v>
      </c>
      <c r="D206" t="s">
        <v>329</v>
      </c>
      <c r="E206" t="s">
        <v>376</v>
      </c>
      <c r="F206" s="134">
        <v>0.16030128699999996</v>
      </c>
      <c r="G206" s="135">
        <v>0.26701075300000005</v>
      </c>
      <c r="H206" s="135">
        <v>0.44185072599999997</v>
      </c>
      <c r="I206" s="135">
        <v>0.81685625099999992</v>
      </c>
      <c r="J206" s="136">
        <v>1.1044259330000001</v>
      </c>
      <c r="K206" s="135">
        <v>0</v>
      </c>
      <c r="L206" s="135">
        <v>3.42825E-4</v>
      </c>
      <c r="M206" s="135">
        <v>2.5155300000000001E-4</v>
      </c>
      <c r="N206" s="135">
        <v>4.0557899999999999E-4</v>
      </c>
      <c r="O206" s="135">
        <v>3.7895099999999998E-4</v>
      </c>
      <c r="P206" s="134">
        <v>0</v>
      </c>
      <c r="Q206" s="135">
        <v>0</v>
      </c>
      <c r="R206" s="135">
        <v>0</v>
      </c>
      <c r="S206" s="135">
        <v>0</v>
      </c>
      <c r="T206" s="136">
        <v>0</v>
      </c>
      <c r="U206" s="135">
        <v>1.6065348E-2</v>
      </c>
      <c r="V206" s="135">
        <v>7.9335278000000009E-2</v>
      </c>
      <c r="W206" s="135">
        <v>0.11033712300000001</v>
      </c>
      <c r="X206" s="135">
        <v>0.13615828600000002</v>
      </c>
      <c r="Y206" s="136">
        <v>0.15801389599999999</v>
      </c>
    </row>
    <row r="207" spans="1:25">
      <c r="A207" s="125" t="s">
        <v>46</v>
      </c>
      <c r="B207" t="s">
        <v>75</v>
      </c>
      <c r="C207" s="186" t="s">
        <v>322</v>
      </c>
      <c r="D207" t="s">
        <v>331</v>
      </c>
      <c r="E207" t="s">
        <v>376</v>
      </c>
      <c r="F207" s="134">
        <v>8.7454002000000003E-2</v>
      </c>
      <c r="G207" s="135">
        <v>0.13358061300000001</v>
      </c>
      <c r="H207" s="135">
        <v>0.23999530200000002</v>
      </c>
      <c r="I207" s="135">
        <v>0.43266579399999999</v>
      </c>
      <c r="J207" s="136">
        <v>0.56885903900000001</v>
      </c>
      <c r="K207" s="135">
        <v>0</v>
      </c>
      <c r="L207" s="135">
        <v>3.1689799999999997E-4</v>
      </c>
      <c r="M207" s="135">
        <v>3.5179800000000001E-4</v>
      </c>
      <c r="N207" s="135">
        <v>8.1020000000000007E-4</v>
      </c>
      <c r="O207" s="135">
        <v>8.4622600000000005E-4</v>
      </c>
      <c r="P207" s="134">
        <v>0</v>
      </c>
      <c r="Q207" s="135">
        <v>0</v>
      </c>
      <c r="R207" s="135">
        <v>0</v>
      </c>
      <c r="S207" s="135">
        <v>0</v>
      </c>
      <c r="T207" s="136">
        <v>0</v>
      </c>
      <c r="U207" s="135">
        <v>4.156638E-2</v>
      </c>
      <c r="V207" s="135">
        <v>0.26117618500000001</v>
      </c>
      <c r="W207" s="135">
        <v>0.39472349299999998</v>
      </c>
      <c r="X207" s="135">
        <v>0.50282354899999993</v>
      </c>
      <c r="Y207" s="136">
        <v>0.58776129099999996</v>
      </c>
    </row>
    <row r="208" spans="1:25">
      <c r="A208" s="125" t="s">
        <v>46</v>
      </c>
      <c r="B208" t="s">
        <v>75</v>
      </c>
      <c r="C208" s="186" t="s">
        <v>322</v>
      </c>
      <c r="D208" t="s">
        <v>333</v>
      </c>
      <c r="E208" t="s">
        <v>376</v>
      </c>
      <c r="F208" s="134">
        <v>3.2036129000000003E-2</v>
      </c>
      <c r="G208" s="135">
        <v>4.9836409999999998E-2</v>
      </c>
      <c r="H208" s="135">
        <v>0.12697805700000001</v>
      </c>
      <c r="I208" s="135">
        <v>0.23212158699999999</v>
      </c>
      <c r="J208" s="136">
        <v>0.314371968</v>
      </c>
      <c r="K208" s="135">
        <v>0</v>
      </c>
      <c r="L208" s="135">
        <v>0</v>
      </c>
      <c r="M208" s="135">
        <v>1.137E-4</v>
      </c>
      <c r="N208" s="135">
        <v>4.5230900000000002E-4</v>
      </c>
      <c r="O208" s="135">
        <v>5.3714300000000002E-4</v>
      </c>
      <c r="P208" s="134">
        <v>0</v>
      </c>
      <c r="Q208" s="135">
        <v>0</v>
      </c>
      <c r="R208" s="135">
        <v>0</v>
      </c>
      <c r="S208" s="135">
        <v>0</v>
      </c>
      <c r="T208" s="136">
        <v>0</v>
      </c>
      <c r="U208" s="135">
        <v>6.8344044999999992E-2</v>
      </c>
      <c r="V208" s="135">
        <v>0.45312895599999997</v>
      </c>
      <c r="W208" s="135">
        <v>0.69531746399999994</v>
      </c>
      <c r="X208" s="135">
        <v>0.89056031999999996</v>
      </c>
      <c r="Y208" s="136">
        <v>1.0422503330000001</v>
      </c>
    </row>
    <row r="209" spans="1:25">
      <c r="A209" s="125" t="s">
        <v>46</v>
      </c>
      <c r="B209" t="s">
        <v>75</v>
      </c>
      <c r="C209" s="186" t="s">
        <v>322</v>
      </c>
      <c r="D209" t="s">
        <v>335</v>
      </c>
      <c r="E209" t="s">
        <v>376</v>
      </c>
      <c r="F209" s="134">
        <v>0.94672502199999997</v>
      </c>
      <c r="G209" s="135">
        <v>2.6083480279999995</v>
      </c>
      <c r="H209" s="135">
        <v>5.8822530800000008</v>
      </c>
      <c r="I209" s="135">
        <v>11.470325867</v>
      </c>
      <c r="J209" s="136">
        <v>15.977411476999999</v>
      </c>
      <c r="K209" s="135">
        <v>0</v>
      </c>
      <c r="L209" s="135">
        <v>2.9093180000000001E-3</v>
      </c>
      <c r="M209" s="135">
        <v>3.0028869999999997E-3</v>
      </c>
      <c r="N209" s="135">
        <v>3.8298500000000001E-3</v>
      </c>
      <c r="O209" s="135">
        <v>3.751721E-3</v>
      </c>
      <c r="P209" s="134">
        <v>0</v>
      </c>
      <c r="Q209" s="135">
        <v>0</v>
      </c>
      <c r="R209" s="135">
        <v>0</v>
      </c>
      <c r="S209" s="135">
        <v>0</v>
      </c>
      <c r="T209" s="136">
        <v>0</v>
      </c>
      <c r="U209" s="135">
        <v>4.6589860999999996E-2</v>
      </c>
      <c r="V209" s="135">
        <v>0.26997117100000001</v>
      </c>
      <c r="W209" s="135">
        <v>0.39793732700000001</v>
      </c>
      <c r="X209" s="135">
        <v>0.50228541100000001</v>
      </c>
      <c r="Y209" s="136">
        <v>0.58592633299999997</v>
      </c>
    </row>
    <row r="210" spans="1:25">
      <c r="A210" s="125" t="s">
        <v>46</v>
      </c>
      <c r="B210" t="s">
        <v>75</v>
      </c>
      <c r="C210" s="186" t="s">
        <v>322</v>
      </c>
      <c r="D210" t="s">
        <v>337</v>
      </c>
      <c r="E210" t="s">
        <v>376</v>
      </c>
      <c r="F210" s="134">
        <v>7.5144895000000017E-2</v>
      </c>
      <c r="G210" s="135">
        <v>0.11330213900000001</v>
      </c>
      <c r="H210" s="135">
        <v>0.23275030899999999</v>
      </c>
      <c r="I210" s="135">
        <v>0.39946394299999999</v>
      </c>
      <c r="J210" s="136">
        <v>0.51750406800000004</v>
      </c>
      <c r="K210" s="135">
        <v>0</v>
      </c>
      <c r="L210" s="135">
        <v>3.1042500000000002E-4</v>
      </c>
      <c r="M210" s="135">
        <v>2.3389400000000001E-4</v>
      </c>
      <c r="N210" s="135">
        <v>3.91705E-4</v>
      </c>
      <c r="O210" s="135">
        <v>3.7218100000000002E-4</v>
      </c>
      <c r="P210" s="134">
        <v>0</v>
      </c>
      <c r="Q210" s="135">
        <v>0</v>
      </c>
      <c r="R210" s="135">
        <v>0</v>
      </c>
      <c r="S210" s="135">
        <v>0</v>
      </c>
      <c r="T210" s="136">
        <v>0</v>
      </c>
      <c r="U210" s="135">
        <v>1.2945268999999999E-2</v>
      </c>
      <c r="V210" s="135">
        <v>6.5856080999999997E-2</v>
      </c>
      <c r="W210" s="135">
        <v>9.2676845999999993E-2</v>
      </c>
      <c r="X210" s="135">
        <v>0.11490764299999999</v>
      </c>
      <c r="Y210" s="136">
        <v>0.13349797300000002</v>
      </c>
    </row>
    <row r="211" spans="1:25">
      <c r="A211" s="125" t="s">
        <v>46</v>
      </c>
      <c r="B211" t="s">
        <v>75</v>
      </c>
      <c r="C211" s="186" t="s">
        <v>322</v>
      </c>
      <c r="D211" t="s">
        <v>339</v>
      </c>
      <c r="E211" t="s">
        <v>376</v>
      </c>
      <c r="F211" s="134">
        <v>1.0347236639999997</v>
      </c>
      <c r="G211" s="135">
        <v>3.1012750599999999</v>
      </c>
      <c r="H211" s="135">
        <v>6.674572135</v>
      </c>
      <c r="I211" s="135">
        <v>12.653173517999999</v>
      </c>
      <c r="J211" s="136">
        <v>17.475469877999995</v>
      </c>
      <c r="K211" s="135">
        <v>0</v>
      </c>
      <c r="L211" s="135">
        <v>2.6106600000000001E-4</v>
      </c>
      <c r="M211" s="135">
        <v>1.7597399999999999E-4</v>
      </c>
      <c r="N211" s="135">
        <v>2.47132E-4</v>
      </c>
      <c r="O211" s="135">
        <v>2.15243E-4</v>
      </c>
      <c r="P211" s="134">
        <v>0</v>
      </c>
      <c r="Q211" s="135">
        <v>0</v>
      </c>
      <c r="R211" s="135">
        <v>0</v>
      </c>
      <c r="S211" s="135">
        <v>0</v>
      </c>
      <c r="T211" s="136">
        <v>0</v>
      </c>
      <c r="U211" s="135">
        <v>3.288343E-3</v>
      </c>
      <c r="V211" s="135">
        <v>1.3027184000000001E-2</v>
      </c>
      <c r="W211" s="135">
        <v>1.6309093E-2</v>
      </c>
      <c r="X211" s="135">
        <v>1.9222379000000001E-2</v>
      </c>
      <c r="Y211" s="136">
        <v>2.2065104999999998E-2</v>
      </c>
    </row>
    <row r="212" spans="1:25">
      <c r="A212" s="125" t="s">
        <v>46</v>
      </c>
      <c r="B212" t="s">
        <v>75</v>
      </c>
      <c r="C212" s="186" t="s">
        <v>322</v>
      </c>
      <c r="D212" t="s">
        <v>341</v>
      </c>
      <c r="E212" t="s">
        <v>376</v>
      </c>
      <c r="F212" s="134">
        <v>0.86136976099999985</v>
      </c>
      <c r="G212" s="135">
        <v>2.4506483050000001</v>
      </c>
      <c r="H212" s="135">
        <v>5.5287065379999989</v>
      </c>
      <c r="I212" s="135">
        <v>10.767004118999997</v>
      </c>
      <c r="J212" s="136">
        <v>14.990921119999998</v>
      </c>
      <c r="K212" s="135">
        <v>0</v>
      </c>
      <c r="L212" s="135">
        <v>2.68433E-4</v>
      </c>
      <c r="M212" s="135">
        <v>2.17321E-4</v>
      </c>
      <c r="N212" s="135">
        <v>3.9860299999999998E-4</v>
      </c>
      <c r="O212" s="135">
        <v>4.3092800000000002E-4</v>
      </c>
      <c r="P212" s="134">
        <v>0</v>
      </c>
      <c r="Q212" s="135">
        <v>0</v>
      </c>
      <c r="R212" s="135">
        <v>0</v>
      </c>
      <c r="S212" s="135">
        <v>0</v>
      </c>
      <c r="T212" s="136">
        <v>0</v>
      </c>
      <c r="U212" s="135">
        <v>2.8523136999999997E-2</v>
      </c>
      <c r="V212" s="135">
        <v>0.160666325</v>
      </c>
      <c r="W212" s="135">
        <v>0.23460715199999999</v>
      </c>
      <c r="X212" s="135">
        <v>0.29508261999999996</v>
      </c>
      <c r="Y212" s="136">
        <v>0.34394574499999997</v>
      </c>
    </row>
    <row r="213" spans="1:25">
      <c r="A213" s="125" t="s">
        <v>46</v>
      </c>
      <c r="B213" t="s">
        <v>75</v>
      </c>
      <c r="C213" s="186" t="s">
        <v>322</v>
      </c>
      <c r="D213" t="s">
        <v>343</v>
      </c>
      <c r="E213" t="s">
        <v>376</v>
      </c>
      <c r="F213" s="134">
        <v>2.9015015000000005E-2</v>
      </c>
      <c r="G213" s="135">
        <v>5.6175358000000009E-2</v>
      </c>
      <c r="H213" s="135">
        <v>0.11897076399999998</v>
      </c>
      <c r="I213" s="135">
        <v>0.21966727999999999</v>
      </c>
      <c r="J213" s="136">
        <v>0.31167599000000001</v>
      </c>
      <c r="K213" s="135">
        <v>0</v>
      </c>
      <c r="L213" s="135">
        <v>2.2218800000000001E-4</v>
      </c>
      <c r="M213" s="135">
        <v>1.35721E-4</v>
      </c>
      <c r="N213" s="135">
        <v>1.5422499999999999E-4</v>
      </c>
      <c r="O213" s="135">
        <v>1.165E-4</v>
      </c>
      <c r="P213" s="134">
        <v>0</v>
      </c>
      <c r="Q213" s="135">
        <v>0</v>
      </c>
      <c r="R213" s="135">
        <v>0</v>
      </c>
      <c r="S213" s="135">
        <v>0</v>
      </c>
      <c r="T213" s="136">
        <v>0</v>
      </c>
      <c r="U213" s="135">
        <v>8.5299390000000003E-3</v>
      </c>
      <c r="V213" s="135">
        <v>4.9772933999999998E-2</v>
      </c>
      <c r="W213" s="135">
        <v>7.3530886000000004E-2</v>
      </c>
      <c r="X213" s="135">
        <v>9.2890376999999996E-2</v>
      </c>
      <c r="Y213" s="136">
        <v>0.108379055</v>
      </c>
    </row>
    <row r="214" spans="1:25">
      <c r="A214" s="129" t="s">
        <v>48</v>
      </c>
      <c r="B214" s="130" t="s">
        <v>75</v>
      </c>
      <c r="C214" s="188" t="s">
        <v>101</v>
      </c>
      <c r="D214" s="130" t="s">
        <v>138</v>
      </c>
      <c r="E214" s="130" t="s">
        <v>376</v>
      </c>
      <c r="F214" s="131">
        <v>2.1985844449999998</v>
      </c>
      <c r="G214" s="132">
        <v>4.4852403660000002</v>
      </c>
      <c r="H214" s="132">
        <v>7.7892622649999996</v>
      </c>
      <c r="I214" s="132">
        <v>13.076531948000003</v>
      </c>
      <c r="J214" s="133">
        <v>17.220527892000003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1">
        <v>0</v>
      </c>
      <c r="Q214" s="132">
        <v>0</v>
      </c>
      <c r="R214" s="132">
        <v>0</v>
      </c>
      <c r="S214" s="132">
        <v>0</v>
      </c>
      <c r="T214" s="133">
        <v>0</v>
      </c>
      <c r="U214" s="132">
        <v>1.159896E-2</v>
      </c>
      <c r="V214" s="132">
        <v>4.3946001999999998E-2</v>
      </c>
      <c r="W214" s="132">
        <v>5.3622083000000001E-2</v>
      </c>
      <c r="X214" s="132">
        <v>6.2439914999999999E-2</v>
      </c>
      <c r="Y214" s="133">
        <v>7.1478475E-2</v>
      </c>
    </row>
    <row r="215" spans="1:25">
      <c r="A215" s="125" t="s">
        <v>48</v>
      </c>
      <c r="B215" t="s">
        <v>75</v>
      </c>
      <c r="C215" s="186" t="s">
        <v>101</v>
      </c>
      <c r="D215" t="s">
        <v>140</v>
      </c>
      <c r="E215" t="s">
        <v>376</v>
      </c>
      <c r="F215" s="134">
        <v>1.7382709310000002</v>
      </c>
      <c r="G215" s="135">
        <v>3.1806845539999999</v>
      </c>
      <c r="H215" s="135">
        <v>4.1782116390000006</v>
      </c>
      <c r="I215" s="135">
        <v>5.2506825109999999</v>
      </c>
      <c r="J215" s="136">
        <v>5.9068681400000003</v>
      </c>
      <c r="K215" s="135">
        <v>0</v>
      </c>
      <c r="L215" s="135">
        <v>0</v>
      </c>
      <c r="M215" s="135">
        <v>0</v>
      </c>
      <c r="N215" s="135">
        <v>0</v>
      </c>
      <c r="O215" s="135">
        <v>0</v>
      </c>
      <c r="P215" s="134">
        <v>0</v>
      </c>
      <c r="Q215" s="135">
        <v>0</v>
      </c>
      <c r="R215" s="135">
        <v>0</v>
      </c>
      <c r="S215" s="135">
        <v>0</v>
      </c>
      <c r="T215" s="136">
        <v>0</v>
      </c>
      <c r="U215" s="135">
        <v>8.519212E-3</v>
      </c>
      <c r="V215" s="135">
        <v>1.9825015000000001E-2</v>
      </c>
      <c r="W215" s="135">
        <v>1.5034691000000001E-2</v>
      </c>
      <c r="X215" s="135">
        <v>1.2281372E-2</v>
      </c>
      <c r="Y215" s="136">
        <v>1.2553379E-2</v>
      </c>
    </row>
    <row r="216" spans="1:25">
      <c r="A216" s="125" t="s">
        <v>48</v>
      </c>
      <c r="B216" t="s">
        <v>75</v>
      </c>
      <c r="C216" s="186" t="s">
        <v>101</v>
      </c>
      <c r="D216" t="s">
        <v>142</v>
      </c>
      <c r="E216" t="s">
        <v>376</v>
      </c>
      <c r="F216" s="134">
        <v>3.126031765</v>
      </c>
      <c r="G216" s="135">
        <v>6.9697735490000001</v>
      </c>
      <c r="H216" s="135">
        <v>10.330232255</v>
      </c>
      <c r="I216" s="135">
        <v>13.841002086</v>
      </c>
      <c r="J216" s="136">
        <v>15.933249465999998</v>
      </c>
      <c r="K216" s="135">
        <v>0</v>
      </c>
      <c r="L216" s="135">
        <v>0</v>
      </c>
      <c r="M216" s="135">
        <v>0</v>
      </c>
      <c r="N216" s="135">
        <v>0</v>
      </c>
      <c r="O216" s="135">
        <v>0</v>
      </c>
      <c r="P216" s="134">
        <v>0</v>
      </c>
      <c r="Q216" s="135">
        <v>0</v>
      </c>
      <c r="R216" s="135">
        <v>0</v>
      </c>
      <c r="S216" s="135">
        <v>0</v>
      </c>
      <c r="T216" s="136">
        <v>0</v>
      </c>
      <c r="U216" s="135">
        <v>1.0986942999999999E-2</v>
      </c>
      <c r="V216" s="135">
        <v>2.6542814000000001E-2</v>
      </c>
      <c r="W216" s="135">
        <v>2.1303717E-2</v>
      </c>
      <c r="X216" s="135">
        <v>1.8488581E-2</v>
      </c>
      <c r="Y216" s="136">
        <v>1.9355208999999998E-2</v>
      </c>
    </row>
    <row r="217" spans="1:25">
      <c r="A217" s="125" t="s">
        <v>48</v>
      </c>
      <c r="B217" t="s">
        <v>75</v>
      </c>
      <c r="C217" s="186" t="s">
        <v>146</v>
      </c>
      <c r="D217" t="s">
        <v>144</v>
      </c>
      <c r="E217" t="s">
        <v>376</v>
      </c>
      <c r="F217" s="134">
        <v>0.14935765599999998</v>
      </c>
      <c r="G217" s="135">
        <v>0.240655328</v>
      </c>
      <c r="H217" s="135">
        <v>0.33107850999999999</v>
      </c>
      <c r="I217" s="135">
        <v>0.40788970700000005</v>
      </c>
      <c r="J217" s="136">
        <v>0.46911054800000002</v>
      </c>
      <c r="K217" s="135">
        <v>0</v>
      </c>
      <c r="L217" s="135">
        <v>0</v>
      </c>
      <c r="M217" s="135">
        <v>0</v>
      </c>
      <c r="N217" s="135">
        <v>0</v>
      </c>
      <c r="O217" s="135">
        <v>0</v>
      </c>
      <c r="P217" s="134">
        <v>3.2317999999999998E-5</v>
      </c>
      <c r="Q217" s="135">
        <v>3.2423000000000004E-5</v>
      </c>
      <c r="R217" s="135">
        <v>3.2239000000000001E-5</v>
      </c>
      <c r="S217" s="135">
        <v>3.1964000000000001E-5</v>
      </c>
      <c r="T217" s="136">
        <v>3.1590000000000001E-5</v>
      </c>
      <c r="U217" s="135">
        <v>1.9985399999999999E-4</v>
      </c>
      <c r="V217" s="135">
        <v>4.49195E-4</v>
      </c>
      <c r="W217" s="135">
        <v>3.21878E-4</v>
      </c>
      <c r="X217" s="135">
        <v>2.45944E-4</v>
      </c>
      <c r="Y217" s="136">
        <v>2.4477199999999998E-4</v>
      </c>
    </row>
    <row r="218" spans="1:25">
      <c r="A218" s="125" t="s">
        <v>48</v>
      </c>
      <c r="B218" t="s">
        <v>75</v>
      </c>
      <c r="C218" s="186" t="s">
        <v>146</v>
      </c>
      <c r="D218" t="s">
        <v>147</v>
      </c>
      <c r="E218" t="s">
        <v>376</v>
      </c>
      <c r="F218" s="134">
        <v>9.7816613959999987</v>
      </c>
      <c r="G218" s="135">
        <v>23.801230504999999</v>
      </c>
      <c r="H218" s="135">
        <v>46.786374092999992</v>
      </c>
      <c r="I218" s="135">
        <v>83.454906477000037</v>
      </c>
      <c r="J218" s="136">
        <v>112.60459042899998</v>
      </c>
      <c r="K218" s="135">
        <v>0</v>
      </c>
      <c r="L218" s="135">
        <v>0</v>
      </c>
      <c r="M218" s="135">
        <v>0</v>
      </c>
      <c r="N218" s="135">
        <v>0</v>
      </c>
      <c r="O218" s="135">
        <v>0</v>
      </c>
      <c r="P218" s="134">
        <v>7.5073799999999993E-4</v>
      </c>
      <c r="Q218" s="135">
        <v>7.4326899999999996E-4</v>
      </c>
      <c r="R218" s="135">
        <v>7.268419999999999E-4</v>
      </c>
      <c r="S218" s="135">
        <v>7.1092200000000001E-4</v>
      </c>
      <c r="T218" s="136">
        <v>6.9340799999999996E-4</v>
      </c>
      <c r="U218" s="135">
        <v>1.6081837000000002E-2</v>
      </c>
      <c r="V218" s="135">
        <v>3.6318596000000002E-2</v>
      </c>
      <c r="W218" s="135">
        <v>2.6238736999999998E-2</v>
      </c>
      <c r="X218" s="135">
        <v>2.0256405000000002E-2</v>
      </c>
      <c r="Y218" s="136">
        <v>2.0250104999999997E-2</v>
      </c>
    </row>
    <row r="219" spans="1:25">
      <c r="A219" s="125" t="s">
        <v>48</v>
      </c>
      <c r="B219" t="s">
        <v>75</v>
      </c>
      <c r="C219" s="186" t="s">
        <v>146</v>
      </c>
      <c r="D219" t="s">
        <v>149</v>
      </c>
      <c r="E219" t="s">
        <v>376</v>
      </c>
      <c r="F219" s="134">
        <v>4.145142119</v>
      </c>
      <c r="G219" s="135">
        <v>6.4924753580000001</v>
      </c>
      <c r="H219" s="135">
        <v>7.8696725009999993</v>
      </c>
      <c r="I219" s="135">
        <v>8.4639614160000018</v>
      </c>
      <c r="J219" s="136">
        <v>8.7629885660000006</v>
      </c>
      <c r="K219" s="135">
        <v>0</v>
      </c>
      <c r="L219" s="135">
        <v>0</v>
      </c>
      <c r="M219" s="135">
        <v>0</v>
      </c>
      <c r="N219" s="135">
        <v>0</v>
      </c>
      <c r="O219" s="135">
        <v>0</v>
      </c>
      <c r="P219" s="134">
        <v>4.5883999999999996E-4</v>
      </c>
      <c r="Q219" s="135">
        <v>4.5360400000000003E-4</v>
      </c>
      <c r="R219" s="135">
        <v>4.4309999999999998E-4</v>
      </c>
      <c r="S219" s="135">
        <v>4.3304900000000002E-4</v>
      </c>
      <c r="T219" s="136">
        <v>4.2240400000000003E-4</v>
      </c>
      <c r="U219" s="135">
        <v>1.5800778000000001E-2</v>
      </c>
      <c r="V219" s="135">
        <v>3.5568304000000002E-2</v>
      </c>
      <c r="W219" s="135">
        <v>2.5554151000000001E-2</v>
      </c>
      <c r="X219" s="135">
        <v>1.9590712999999999E-2</v>
      </c>
      <c r="Y219" s="136">
        <v>1.9525448000000001E-2</v>
      </c>
    </row>
    <row r="220" spans="1:25">
      <c r="A220" s="125" t="s">
        <v>48</v>
      </c>
      <c r="B220" t="s">
        <v>75</v>
      </c>
      <c r="C220" s="186" t="s">
        <v>356</v>
      </c>
      <c r="D220" t="s">
        <v>354</v>
      </c>
      <c r="E220" t="s">
        <v>376</v>
      </c>
      <c r="F220" s="134">
        <v>2.39465634</v>
      </c>
      <c r="G220" s="135">
        <v>4.5500771640000002</v>
      </c>
      <c r="H220" s="135">
        <v>7.3802432879999991</v>
      </c>
      <c r="I220" s="135">
        <v>12.055036156999998</v>
      </c>
      <c r="J220" s="136">
        <v>15.824006492000001</v>
      </c>
      <c r="K220" s="135">
        <v>0</v>
      </c>
      <c r="L220" s="135">
        <v>0</v>
      </c>
      <c r="M220" s="135">
        <v>0</v>
      </c>
      <c r="N220" s="135">
        <v>0</v>
      </c>
      <c r="O220" s="135">
        <v>0</v>
      </c>
      <c r="P220" s="134">
        <v>0</v>
      </c>
      <c r="Q220" s="135">
        <v>1.9388400000000002E-4</v>
      </c>
      <c r="R220" s="135">
        <v>1.8478900000000001E-4</v>
      </c>
      <c r="S220" s="135">
        <v>1.4314499999999999E-4</v>
      </c>
      <c r="T220" s="136">
        <v>1.9018399999999998E-4</v>
      </c>
      <c r="U220" s="135">
        <v>7.6852559999999997E-3</v>
      </c>
      <c r="V220" s="135">
        <v>3.1469032000000001E-2</v>
      </c>
      <c r="W220" s="135">
        <v>3.9982513999999997E-2</v>
      </c>
      <c r="X220" s="135">
        <v>4.7313788000000002E-2</v>
      </c>
      <c r="Y220" s="136">
        <v>5.4188270999999996E-2</v>
      </c>
    </row>
    <row r="221" spans="1:25">
      <c r="A221" s="125" t="s">
        <v>48</v>
      </c>
      <c r="B221" t="s">
        <v>75</v>
      </c>
      <c r="C221" s="186" t="s">
        <v>356</v>
      </c>
      <c r="D221" t="s">
        <v>357</v>
      </c>
      <c r="E221" t="s">
        <v>376</v>
      </c>
      <c r="F221" s="134">
        <v>0.21792715699999995</v>
      </c>
      <c r="G221" s="135">
        <v>0.20896853600000001</v>
      </c>
      <c r="H221" s="135">
        <v>1.3248431940000001</v>
      </c>
      <c r="I221" s="135">
        <v>3.0531352479999998</v>
      </c>
      <c r="J221" s="136">
        <v>4.1742775559999998</v>
      </c>
      <c r="K221" s="135">
        <v>0</v>
      </c>
      <c r="L221" s="135">
        <v>0</v>
      </c>
      <c r="M221" s="135">
        <v>0</v>
      </c>
      <c r="N221" s="135">
        <v>0</v>
      </c>
      <c r="O221" s="135">
        <v>0</v>
      </c>
      <c r="P221" s="134">
        <v>0</v>
      </c>
      <c r="Q221" s="135">
        <v>2.4886299999999999E-4</v>
      </c>
      <c r="R221" s="135">
        <v>2.4192199999999999E-4</v>
      </c>
      <c r="S221" s="135">
        <v>1.9078199999999999E-4</v>
      </c>
      <c r="T221" s="136">
        <v>2.67428E-4</v>
      </c>
      <c r="U221" s="135">
        <v>1.0686444E-2</v>
      </c>
      <c r="V221" s="135">
        <v>4.5291802999999999E-2</v>
      </c>
      <c r="W221" s="135">
        <v>5.8909887000000001E-2</v>
      </c>
      <c r="X221" s="135">
        <v>7.0793625999999998E-2</v>
      </c>
      <c r="Y221" s="136">
        <v>8.182171399999999E-2</v>
      </c>
    </row>
    <row r="222" spans="1:25">
      <c r="A222" s="125" t="s">
        <v>48</v>
      </c>
      <c r="B222" t="s">
        <v>75</v>
      </c>
      <c r="C222" s="186" t="s">
        <v>153</v>
      </c>
      <c r="D222" t="s">
        <v>151</v>
      </c>
      <c r="E222" t="s">
        <v>376</v>
      </c>
      <c r="F222" s="134">
        <v>6.6832291000000002E-2</v>
      </c>
      <c r="G222" s="135">
        <v>0.16617939600000001</v>
      </c>
      <c r="H222" s="135">
        <v>0.36965232199999998</v>
      </c>
      <c r="I222" s="135">
        <v>0.769878595</v>
      </c>
      <c r="J222" s="136">
        <v>0.94833615599999987</v>
      </c>
      <c r="K222" s="135">
        <v>0</v>
      </c>
      <c r="L222" s="135">
        <v>0</v>
      </c>
      <c r="M222" s="135">
        <v>0</v>
      </c>
      <c r="N222" s="135">
        <v>0</v>
      </c>
      <c r="O222" s="135">
        <v>0</v>
      </c>
      <c r="P222" s="134">
        <v>3.1080799999999998E-4</v>
      </c>
      <c r="Q222" s="135">
        <v>3.7701399999999995E-4</v>
      </c>
      <c r="R222" s="135">
        <v>3.8981200000000001E-4</v>
      </c>
      <c r="S222" s="135">
        <v>3.9549000000000008E-4</v>
      </c>
      <c r="T222" s="136">
        <v>4.1139799999999999E-4</v>
      </c>
      <c r="U222" s="135">
        <v>8.9790895000000009E-2</v>
      </c>
      <c r="V222" s="135">
        <v>0.591446001</v>
      </c>
      <c r="W222" s="135">
        <v>0.90593549200000001</v>
      </c>
      <c r="X222" s="135">
        <v>1.159582801</v>
      </c>
      <c r="Y222" s="136">
        <v>1.3569050029999998</v>
      </c>
    </row>
    <row r="223" spans="1:25">
      <c r="A223" s="125" t="s">
        <v>48</v>
      </c>
      <c r="B223" t="s">
        <v>75</v>
      </c>
      <c r="C223" s="186" t="s">
        <v>111</v>
      </c>
      <c r="D223" t="s">
        <v>154</v>
      </c>
      <c r="E223" t="s">
        <v>376</v>
      </c>
      <c r="F223" s="134">
        <v>8.8752631219999998</v>
      </c>
      <c r="G223" s="135">
        <v>16.559679699</v>
      </c>
      <c r="H223" s="135">
        <v>23.833394311000003</v>
      </c>
      <c r="I223" s="135">
        <v>33.155535207</v>
      </c>
      <c r="J223" s="136">
        <v>39.192262028000002</v>
      </c>
      <c r="K223" s="135">
        <v>0</v>
      </c>
      <c r="L223" s="135">
        <v>0</v>
      </c>
      <c r="M223" s="135">
        <v>0</v>
      </c>
      <c r="N223" s="135">
        <v>0</v>
      </c>
      <c r="O223" s="135">
        <v>0</v>
      </c>
      <c r="P223" s="134">
        <v>0</v>
      </c>
      <c r="Q223" s="135">
        <v>1.7573100000000002E-4</v>
      </c>
      <c r="R223" s="135">
        <v>2.7198499999999998E-4</v>
      </c>
      <c r="S223" s="135">
        <v>3.6886300000000004E-4</v>
      </c>
      <c r="T223" s="136">
        <v>2.7437700000000002E-4</v>
      </c>
      <c r="U223" s="135">
        <v>2.1142701999999999E-2</v>
      </c>
      <c r="V223" s="135">
        <v>4.8663215999999995E-2</v>
      </c>
      <c r="W223" s="135">
        <v>3.6284230000000001E-2</v>
      </c>
      <c r="X223" s="135">
        <v>2.9095020999999999E-2</v>
      </c>
      <c r="Y223" s="136">
        <v>2.9551226E-2</v>
      </c>
    </row>
    <row r="224" spans="1:25">
      <c r="A224" s="125" t="s">
        <v>48</v>
      </c>
      <c r="B224" t="s">
        <v>75</v>
      </c>
      <c r="C224" s="186" t="s">
        <v>113</v>
      </c>
      <c r="D224" t="s">
        <v>193</v>
      </c>
      <c r="E224" t="s">
        <v>376</v>
      </c>
      <c r="F224" s="134">
        <v>10.135389118611112</v>
      </c>
      <c r="G224" s="135">
        <v>16.952831464444436</v>
      </c>
      <c r="H224" s="135">
        <v>23.091222241111108</v>
      </c>
      <c r="I224" s="135">
        <v>37.819811061666684</v>
      </c>
      <c r="J224" s="136">
        <v>42.424641678055579</v>
      </c>
      <c r="K224" s="135">
        <v>0</v>
      </c>
      <c r="L224" s="135">
        <v>0</v>
      </c>
      <c r="M224" s="135">
        <v>5.8091862000000062E-5</v>
      </c>
      <c r="N224" s="135">
        <v>7.7300012000000042E-5</v>
      </c>
      <c r="O224" s="135">
        <v>8.1733579999999998E-5</v>
      </c>
      <c r="P224" s="134">
        <v>0</v>
      </c>
      <c r="Q224" s="135">
        <v>0</v>
      </c>
      <c r="R224" s="135">
        <v>0</v>
      </c>
      <c r="S224" s="135">
        <v>0</v>
      </c>
      <c r="T224" s="136">
        <v>0</v>
      </c>
      <c r="U224" s="135">
        <v>3.3403044999999999E-2</v>
      </c>
      <c r="V224" s="135">
        <v>0.12432332199999997</v>
      </c>
      <c r="W224" s="135">
        <v>0.14969912400000004</v>
      </c>
      <c r="X224" s="135">
        <v>0.17307139199999999</v>
      </c>
      <c r="Y224" s="136">
        <v>0.19787630900000003</v>
      </c>
    </row>
    <row r="225" spans="1:25">
      <c r="A225" s="125" t="s">
        <v>48</v>
      </c>
      <c r="B225" t="s">
        <v>75</v>
      </c>
      <c r="C225" s="186" t="s">
        <v>113</v>
      </c>
      <c r="D225" t="s">
        <v>195</v>
      </c>
      <c r="E225" t="s">
        <v>376</v>
      </c>
      <c r="F225" s="134">
        <v>15.480633226111102</v>
      </c>
      <c r="G225" s="135">
        <v>22.848912446666645</v>
      </c>
      <c r="H225" s="135">
        <v>28.261747857222222</v>
      </c>
      <c r="I225" s="135">
        <v>43.155407418333311</v>
      </c>
      <c r="J225" s="136">
        <v>47.546385579166667</v>
      </c>
      <c r="K225" s="135">
        <v>0</v>
      </c>
      <c r="L225" s="135">
        <v>0</v>
      </c>
      <c r="M225" s="135">
        <v>2.276348000000001E-6</v>
      </c>
      <c r="N225" s="135">
        <v>1.8544990000000009E-5</v>
      </c>
      <c r="O225" s="135">
        <v>2.9229999999999983E-5</v>
      </c>
      <c r="P225" s="134">
        <v>0</v>
      </c>
      <c r="Q225" s="135">
        <v>0</v>
      </c>
      <c r="R225" s="135">
        <v>0</v>
      </c>
      <c r="S225" s="135">
        <v>0</v>
      </c>
      <c r="T225" s="136">
        <v>0</v>
      </c>
      <c r="U225" s="135">
        <v>8.0071639E-2</v>
      </c>
      <c r="V225" s="135">
        <v>0.416118445</v>
      </c>
      <c r="W225" s="135">
        <v>0.59017390500000078</v>
      </c>
      <c r="X225" s="135">
        <v>0.73390728999999988</v>
      </c>
      <c r="Y225" s="136">
        <v>0.85343872000000043</v>
      </c>
    </row>
    <row r="226" spans="1:25">
      <c r="A226" s="125" t="s">
        <v>48</v>
      </c>
      <c r="B226" t="s">
        <v>75</v>
      </c>
      <c r="C226" s="186" t="s">
        <v>113</v>
      </c>
      <c r="D226" t="s">
        <v>197</v>
      </c>
      <c r="E226" t="s">
        <v>376</v>
      </c>
      <c r="F226" s="134">
        <v>2.6780174852777776</v>
      </c>
      <c r="G226" s="135">
        <v>2.6452639899999992</v>
      </c>
      <c r="H226" s="135">
        <v>2.175019033611111</v>
      </c>
      <c r="I226" s="135">
        <v>2.367304477222222</v>
      </c>
      <c r="J226" s="136">
        <v>2.4227641311111108</v>
      </c>
      <c r="K226" s="135">
        <v>0</v>
      </c>
      <c r="L226" s="135">
        <v>0</v>
      </c>
      <c r="M226" s="135">
        <v>3.0417699999999998E-4</v>
      </c>
      <c r="N226" s="135">
        <v>2.7261700000000001E-4</v>
      </c>
      <c r="O226" s="135">
        <v>2.5689799999999998E-4</v>
      </c>
      <c r="P226" s="134">
        <v>0</v>
      </c>
      <c r="Q226" s="135">
        <v>0</v>
      </c>
      <c r="R226" s="135">
        <v>0</v>
      </c>
      <c r="S226" s="135">
        <v>0</v>
      </c>
      <c r="T226" s="136">
        <v>0</v>
      </c>
      <c r="U226" s="135">
        <v>3.2344204000000001E-2</v>
      </c>
      <c r="V226" s="135">
        <v>0.18702687800000001</v>
      </c>
      <c r="W226" s="135">
        <v>0.275610087</v>
      </c>
      <c r="X226" s="135">
        <v>0.347831681</v>
      </c>
      <c r="Y226" s="136">
        <v>0.40578006700000002</v>
      </c>
    </row>
    <row r="227" spans="1:25">
      <c r="A227" s="125" t="s">
        <v>48</v>
      </c>
      <c r="B227" t="s">
        <v>75</v>
      </c>
      <c r="C227" s="186" t="s">
        <v>113</v>
      </c>
      <c r="D227" t="s">
        <v>199</v>
      </c>
      <c r="E227" t="s">
        <v>376</v>
      </c>
      <c r="F227" s="134">
        <v>2.8394851841666662</v>
      </c>
      <c r="G227" s="135">
        <v>7.2859723683333328</v>
      </c>
      <c r="H227" s="135">
        <v>11.653158624444441</v>
      </c>
      <c r="I227" s="135">
        <v>21.180051043611112</v>
      </c>
      <c r="J227" s="136">
        <v>23.932536662222223</v>
      </c>
      <c r="K227" s="135">
        <v>0</v>
      </c>
      <c r="L227" s="135">
        <v>0</v>
      </c>
      <c r="M227" s="135">
        <v>1.5368040000000001E-4</v>
      </c>
      <c r="N227" s="135">
        <v>1.3662280000000001E-4</v>
      </c>
      <c r="O227" s="135">
        <v>1.4081780000000006E-4</v>
      </c>
      <c r="P227" s="134">
        <v>0</v>
      </c>
      <c r="Q227" s="135">
        <v>0</v>
      </c>
      <c r="R227" s="135">
        <v>0</v>
      </c>
      <c r="S227" s="135">
        <v>0</v>
      </c>
      <c r="T227" s="136">
        <v>0</v>
      </c>
      <c r="U227" s="135">
        <v>5.2549730000000005E-3</v>
      </c>
      <c r="V227" s="135">
        <v>1.1809774999999996E-2</v>
      </c>
      <c r="W227" s="135">
        <v>8.4409639999999987E-3</v>
      </c>
      <c r="X227" s="135">
        <v>6.4332969999999984E-3</v>
      </c>
      <c r="Y227" s="136">
        <v>6.386419E-3</v>
      </c>
    </row>
    <row r="228" spans="1:25">
      <c r="A228" s="125" t="s">
        <v>48</v>
      </c>
      <c r="B228" t="s">
        <v>75</v>
      </c>
      <c r="C228" s="186" t="s">
        <v>113</v>
      </c>
      <c r="D228" t="s">
        <v>201</v>
      </c>
      <c r="E228" t="s">
        <v>376</v>
      </c>
      <c r="F228" s="134">
        <v>2.486839281944444</v>
      </c>
      <c r="G228" s="135">
        <v>5.2468454502777773</v>
      </c>
      <c r="H228" s="135">
        <v>6.3458177830555549</v>
      </c>
      <c r="I228" s="135">
        <v>7.3559284902777771</v>
      </c>
      <c r="J228" s="136">
        <v>7.8852484205555555</v>
      </c>
      <c r="K228" s="135">
        <v>0</v>
      </c>
      <c r="L228" s="135">
        <v>0</v>
      </c>
      <c r="M228" s="135">
        <v>4.2547799999999999E-5</v>
      </c>
      <c r="N228" s="135">
        <v>2.8444400000000002E-5</v>
      </c>
      <c r="O228" s="135">
        <v>2.7741600000000006E-5</v>
      </c>
      <c r="P228" s="134">
        <v>0</v>
      </c>
      <c r="Q228" s="135">
        <v>0</v>
      </c>
      <c r="R228" s="135">
        <v>0</v>
      </c>
      <c r="S228" s="135">
        <v>0</v>
      </c>
      <c r="T228" s="136">
        <v>0</v>
      </c>
      <c r="U228" s="135">
        <v>3.705477E-3</v>
      </c>
      <c r="V228" s="135">
        <v>1.9112001000000003E-2</v>
      </c>
      <c r="W228" s="135">
        <v>2.7065120000000002E-2</v>
      </c>
      <c r="X228" s="135">
        <v>3.3642280999999996E-2</v>
      </c>
      <c r="Y228" s="136">
        <v>3.9105119000000001E-2</v>
      </c>
    </row>
    <row r="229" spans="1:25">
      <c r="A229" s="125" t="s">
        <v>48</v>
      </c>
      <c r="B229" t="s">
        <v>75</v>
      </c>
      <c r="C229" s="186" t="s">
        <v>113</v>
      </c>
      <c r="D229" t="s">
        <v>203</v>
      </c>
      <c r="E229" t="s">
        <v>376</v>
      </c>
      <c r="F229" s="134">
        <v>1.7887661447222221</v>
      </c>
      <c r="G229" s="135">
        <v>3.7026513619444446</v>
      </c>
      <c r="H229" s="135">
        <v>5.7646208744444438</v>
      </c>
      <c r="I229" s="135">
        <v>10.984626380555556</v>
      </c>
      <c r="J229" s="136">
        <v>12.534883508611109</v>
      </c>
      <c r="K229" s="135">
        <v>0</v>
      </c>
      <c r="L229" s="135">
        <v>0</v>
      </c>
      <c r="M229" s="135">
        <v>2.0277899999999999E-4</v>
      </c>
      <c r="N229" s="135">
        <v>1.9660000000000001E-4</v>
      </c>
      <c r="O229" s="135">
        <v>1.8369999999999999E-4</v>
      </c>
      <c r="P229" s="134">
        <v>0</v>
      </c>
      <c r="Q229" s="135">
        <v>0</v>
      </c>
      <c r="R229" s="135">
        <v>0</v>
      </c>
      <c r="S229" s="135">
        <v>0</v>
      </c>
      <c r="T229" s="136">
        <v>0</v>
      </c>
      <c r="U229" s="135">
        <v>1.6013169000000001E-2</v>
      </c>
      <c r="V229" s="135">
        <v>9.2562769000000003E-2</v>
      </c>
      <c r="W229" s="135">
        <v>0.136450301</v>
      </c>
      <c r="X229" s="135">
        <v>0.17223074099999999</v>
      </c>
      <c r="Y229" s="136">
        <v>0.20092405799999999</v>
      </c>
    </row>
    <row r="230" spans="1:25">
      <c r="A230" s="125" t="s">
        <v>48</v>
      </c>
      <c r="B230" t="s">
        <v>75</v>
      </c>
      <c r="C230" s="186" t="s">
        <v>113</v>
      </c>
      <c r="D230" t="s">
        <v>205</v>
      </c>
      <c r="E230" t="s">
        <v>376</v>
      </c>
      <c r="F230" s="134">
        <v>5.6070949858333323</v>
      </c>
      <c r="G230" s="135">
        <v>5.9681153233333344</v>
      </c>
      <c r="H230" s="135">
        <v>5.3008446361111092</v>
      </c>
      <c r="I230" s="135">
        <v>5.8551620625000007</v>
      </c>
      <c r="J230" s="136">
        <v>6.0216037552777797</v>
      </c>
      <c r="K230" s="135">
        <v>0</v>
      </c>
      <c r="L230" s="135">
        <v>0</v>
      </c>
      <c r="M230" s="135">
        <v>7.0898800000000021E-7</v>
      </c>
      <c r="N230" s="135">
        <v>9.4523599999999933E-6</v>
      </c>
      <c r="O230" s="135">
        <v>1.6001160000000009E-5</v>
      </c>
      <c r="P230" s="134">
        <v>0</v>
      </c>
      <c r="Q230" s="135">
        <v>0</v>
      </c>
      <c r="R230" s="135">
        <v>0</v>
      </c>
      <c r="S230" s="135">
        <v>0</v>
      </c>
      <c r="T230" s="136">
        <v>0</v>
      </c>
      <c r="U230" s="135">
        <v>0.11144330200000002</v>
      </c>
      <c r="V230" s="135">
        <v>0.69010427000000019</v>
      </c>
      <c r="W230" s="135">
        <v>1.0384792170000001</v>
      </c>
      <c r="X230" s="135">
        <v>1.3208023240000006</v>
      </c>
      <c r="Y230" s="136">
        <v>1.5433989080000003</v>
      </c>
    </row>
    <row r="231" spans="1:25">
      <c r="A231" s="125" t="s">
        <v>48</v>
      </c>
      <c r="B231" t="s">
        <v>75</v>
      </c>
      <c r="C231" s="186" t="s">
        <v>113</v>
      </c>
      <c r="D231" t="s">
        <v>207</v>
      </c>
      <c r="E231" t="s">
        <v>376</v>
      </c>
      <c r="F231" s="134">
        <v>0.61065910138888868</v>
      </c>
      <c r="G231" s="135">
        <v>0.74901490861111109</v>
      </c>
      <c r="H231" s="135">
        <v>0.78829226444444445</v>
      </c>
      <c r="I231" s="135">
        <v>0.88348223222222222</v>
      </c>
      <c r="J231" s="136">
        <v>0.93906388222222215</v>
      </c>
      <c r="K231" s="135">
        <v>0</v>
      </c>
      <c r="L231" s="135">
        <v>0</v>
      </c>
      <c r="M231" s="135">
        <v>3.4393400000000015E-5</v>
      </c>
      <c r="N231" s="135">
        <v>3.4762999999999999E-5</v>
      </c>
      <c r="O231" s="135">
        <v>3.3167800000000005E-5</v>
      </c>
      <c r="P231" s="134">
        <v>0</v>
      </c>
      <c r="Q231" s="135">
        <v>0</v>
      </c>
      <c r="R231" s="135">
        <v>0</v>
      </c>
      <c r="S231" s="135">
        <v>0</v>
      </c>
      <c r="T231" s="136">
        <v>0</v>
      </c>
      <c r="U231" s="135">
        <v>3.8632260000000004E-3</v>
      </c>
      <c r="V231" s="135">
        <v>1.0135075E-2</v>
      </c>
      <c r="W231" s="135">
        <v>9.2179579999999983E-3</v>
      </c>
      <c r="X231" s="135">
        <v>8.9632919999999977E-3</v>
      </c>
      <c r="Y231" s="136">
        <v>9.6993249999999982E-3</v>
      </c>
    </row>
    <row r="232" spans="1:25">
      <c r="A232" s="125" t="s">
        <v>48</v>
      </c>
      <c r="B232" t="s">
        <v>75</v>
      </c>
      <c r="C232" s="186" t="s">
        <v>113</v>
      </c>
      <c r="D232" t="s">
        <v>209</v>
      </c>
      <c r="E232" t="s">
        <v>376</v>
      </c>
      <c r="F232" s="134">
        <v>10.676902134166665</v>
      </c>
      <c r="G232" s="135">
        <v>17.391329573611102</v>
      </c>
      <c r="H232" s="135">
        <v>20.811173733333334</v>
      </c>
      <c r="I232" s="135">
        <v>27.555690015277779</v>
      </c>
      <c r="J232" s="136">
        <v>29.832073850000015</v>
      </c>
      <c r="K232" s="135">
        <v>0</v>
      </c>
      <c r="L232" s="135">
        <v>0</v>
      </c>
      <c r="M232" s="135">
        <v>9.8516512000000045E-5</v>
      </c>
      <c r="N232" s="135">
        <v>1.2079378999999999E-4</v>
      </c>
      <c r="O232" s="135">
        <v>1.2831450000000004E-4</v>
      </c>
      <c r="P232" s="134">
        <v>0</v>
      </c>
      <c r="Q232" s="135">
        <v>0</v>
      </c>
      <c r="R232" s="135">
        <v>0</v>
      </c>
      <c r="S232" s="135">
        <v>0</v>
      </c>
      <c r="T232" s="136">
        <v>0</v>
      </c>
      <c r="U232" s="135">
        <v>2.2359087999999996E-2</v>
      </c>
      <c r="V232" s="135">
        <v>7.7405454999999984E-2</v>
      </c>
      <c r="W232" s="135">
        <v>8.8791643999999989E-2</v>
      </c>
      <c r="X232" s="135">
        <v>0.10014980899999999</v>
      </c>
      <c r="Y232" s="136">
        <v>0.11369602300000003</v>
      </c>
    </row>
    <row r="233" spans="1:25">
      <c r="A233" s="125" t="s">
        <v>48</v>
      </c>
      <c r="B233" t="s">
        <v>75</v>
      </c>
      <c r="C233" s="186" t="s">
        <v>113</v>
      </c>
      <c r="D233" t="s">
        <v>211</v>
      </c>
      <c r="E233" t="s">
        <v>376</v>
      </c>
      <c r="F233" s="134">
        <v>34.827250619166676</v>
      </c>
      <c r="G233" s="135">
        <v>62.381787803333317</v>
      </c>
      <c r="H233" s="135">
        <v>77.650216032777777</v>
      </c>
      <c r="I233" s="135">
        <v>113.37541369361121</v>
      </c>
      <c r="J233" s="136">
        <v>124.24798064638884</v>
      </c>
      <c r="K233" s="135">
        <v>0</v>
      </c>
      <c r="L233" s="135">
        <v>0</v>
      </c>
      <c r="M233" s="135">
        <v>1.4672323200000005E-4</v>
      </c>
      <c r="N233" s="135">
        <v>1.5586567999999998E-4</v>
      </c>
      <c r="O233" s="135">
        <v>1.6567402000000001E-4</v>
      </c>
      <c r="P233" s="134">
        <v>0</v>
      </c>
      <c r="Q233" s="135">
        <v>0</v>
      </c>
      <c r="R233" s="135">
        <v>0</v>
      </c>
      <c r="S233" s="135">
        <v>0</v>
      </c>
      <c r="T233" s="136">
        <v>0</v>
      </c>
      <c r="U233" s="135">
        <v>8.2914181000000017E-2</v>
      </c>
      <c r="V233" s="135">
        <v>0.39807940800000002</v>
      </c>
      <c r="W233" s="135">
        <v>0.54709191699999993</v>
      </c>
      <c r="X233" s="135">
        <v>0.67189447600000007</v>
      </c>
      <c r="Y233" s="136">
        <v>0.77878987900000007</v>
      </c>
    </row>
    <row r="234" spans="1:25">
      <c r="A234" s="125" t="s">
        <v>48</v>
      </c>
      <c r="B234" t="s">
        <v>75</v>
      </c>
      <c r="C234" s="186" t="s">
        <v>113</v>
      </c>
      <c r="D234" t="s">
        <v>213</v>
      </c>
      <c r="E234" t="s">
        <v>376</v>
      </c>
      <c r="F234" s="134">
        <v>3.8339096772222234</v>
      </c>
      <c r="G234" s="135">
        <v>9.5358902841666726</v>
      </c>
      <c r="H234" s="135">
        <v>12.328982892777777</v>
      </c>
      <c r="I234" s="135">
        <v>16.432471202222224</v>
      </c>
      <c r="J234" s="136">
        <v>17.122044272222208</v>
      </c>
      <c r="K234" s="135">
        <v>0</v>
      </c>
      <c r="L234" s="135">
        <v>0</v>
      </c>
      <c r="M234" s="135">
        <v>4.8787799999999916E-6</v>
      </c>
      <c r="N234" s="135">
        <v>9.0248080000000006E-6</v>
      </c>
      <c r="O234" s="135">
        <v>9.9422320000000054E-6</v>
      </c>
      <c r="P234" s="134">
        <v>0</v>
      </c>
      <c r="Q234" s="135">
        <v>0</v>
      </c>
      <c r="R234" s="135">
        <v>0</v>
      </c>
      <c r="S234" s="135">
        <v>0</v>
      </c>
      <c r="T234" s="136">
        <v>0</v>
      </c>
      <c r="U234" s="135">
        <v>8.6678219999999986E-3</v>
      </c>
      <c r="V234" s="135">
        <v>1.9542838000000003E-2</v>
      </c>
      <c r="W234" s="135">
        <v>1.4027775000000003E-2</v>
      </c>
      <c r="X234" s="135">
        <v>1.0737379999999998E-2</v>
      </c>
      <c r="Y234" s="136">
        <v>1.0705605E-2</v>
      </c>
    </row>
    <row r="235" spans="1:25">
      <c r="A235" s="125" t="s">
        <v>48</v>
      </c>
      <c r="B235" t="s">
        <v>75</v>
      </c>
      <c r="C235" s="186" t="s">
        <v>113</v>
      </c>
      <c r="D235" t="s">
        <v>215</v>
      </c>
      <c r="E235" t="s">
        <v>376</v>
      </c>
      <c r="F235" s="134">
        <v>2.9972592588888887</v>
      </c>
      <c r="G235" s="135">
        <v>6.2202695327777775</v>
      </c>
      <c r="H235" s="135">
        <v>7.5072552666666645</v>
      </c>
      <c r="I235" s="135">
        <v>8.7563758525000015</v>
      </c>
      <c r="J235" s="136">
        <v>9.4524385274999965</v>
      </c>
      <c r="K235" s="135">
        <v>0</v>
      </c>
      <c r="L235" s="135">
        <v>0</v>
      </c>
      <c r="M235" s="135">
        <v>4.4972692000000009E-5</v>
      </c>
      <c r="N235" s="135">
        <v>4.8656039999999999E-5</v>
      </c>
      <c r="O235" s="135">
        <v>4.7846120000000004E-5</v>
      </c>
      <c r="P235" s="134">
        <v>0</v>
      </c>
      <c r="Q235" s="135">
        <v>0</v>
      </c>
      <c r="R235" s="135">
        <v>0</v>
      </c>
      <c r="S235" s="135">
        <v>0</v>
      </c>
      <c r="T235" s="136">
        <v>0</v>
      </c>
      <c r="U235" s="135">
        <v>2.4008380000000002E-3</v>
      </c>
      <c r="V235" s="135">
        <v>7.3007030000000004E-3</v>
      </c>
      <c r="W235" s="135">
        <v>7.6028000000000016E-3</v>
      </c>
      <c r="X235" s="135">
        <v>8.1181960000000011E-3</v>
      </c>
      <c r="Y235" s="136">
        <v>9.0589889999999982E-3</v>
      </c>
    </row>
    <row r="236" spans="1:25">
      <c r="A236" s="125" t="s">
        <v>48</v>
      </c>
      <c r="B236" t="s">
        <v>75</v>
      </c>
      <c r="C236" s="186" t="s">
        <v>113</v>
      </c>
      <c r="D236" t="s">
        <v>217</v>
      </c>
      <c r="E236" t="s">
        <v>376</v>
      </c>
      <c r="F236" s="134">
        <v>2.478433331666666</v>
      </c>
      <c r="G236" s="135">
        <v>3.6228036374999979</v>
      </c>
      <c r="H236" s="135">
        <v>4.2232947447222209</v>
      </c>
      <c r="I236" s="135">
        <v>5.5922239922222241</v>
      </c>
      <c r="J236" s="136">
        <v>6.0271796880555577</v>
      </c>
      <c r="K236" s="135">
        <v>0</v>
      </c>
      <c r="L236" s="135">
        <v>0</v>
      </c>
      <c r="M236" s="135">
        <v>3.6050220000000003E-4</v>
      </c>
      <c r="N236" s="135">
        <v>3.3267440000000006E-4</v>
      </c>
      <c r="O236" s="135">
        <v>3.1910719999999997E-4</v>
      </c>
      <c r="P236" s="134">
        <v>0</v>
      </c>
      <c r="Q236" s="135">
        <v>0</v>
      </c>
      <c r="R236" s="135">
        <v>0</v>
      </c>
      <c r="S236" s="135">
        <v>0</v>
      </c>
      <c r="T236" s="136">
        <v>0</v>
      </c>
      <c r="U236" s="135">
        <v>8.8719599999999999E-3</v>
      </c>
      <c r="V236" s="135">
        <v>2.4162428999999999E-2</v>
      </c>
      <c r="W236" s="135">
        <v>2.2849008999999997E-2</v>
      </c>
      <c r="X236" s="135">
        <v>2.2875364000000002E-2</v>
      </c>
      <c r="Y236" s="136">
        <v>2.5000131000000005E-2</v>
      </c>
    </row>
    <row r="237" spans="1:25">
      <c r="A237" s="125" t="s">
        <v>48</v>
      </c>
      <c r="B237" t="s">
        <v>75</v>
      </c>
      <c r="C237" s="186" t="s">
        <v>113</v>
      </c>
      <c r="D237" t="s">
        <v>219</v>
      </c>
      <c r="E237" t="s">
        <v>376</v>
      </c>
      <c r="F237" s="134">
        <v>7.4281361155555539</v>
      </c>
      <c r="G237" s="135">
        <v>17.66613797944445</v>
      </c>
      <c r="H237" s="135">
        <v>24.644267389166668</v>
      </c>
      <c r="I237" s="135">
        <v>38.862215569166658</v>
      </c>
      <c r="J237" s="136">
        <v>42.154419073055543</v>
      </c>
      <c r="K237" s="135">
        <v>0</v>
      </c>
      <c r="L237" s="135">
        <v>0</v>
      </c>
      <c r="M237" s="135">
        <v>1.1428959999999999E-4</v>
      </c>
      <c r="N237" s="135">
        <v>9.8204599999999985E-5</v>
      </c>
      <c r="O237" s="135">
        <v>1.0134199999999999E-4</v>
      </c>
      <c r="P237" s="134">
        <v>0</v>
      </c>
      <c r="Q237" s="135">
        <v>0</v>
      </c>
      <c r="R237" s="135">
        <v>0</v>
      </c>
      <c r="S237" s="135">
        <v>0</v>
      </c>
      <c r="T237" s="136">
        <v>0</v>
      </c>
      <c r="U237" s="135">
        <v>1.2760120000000002E-2</v>
      </c>
      <c r="V237" s="135">
        <v>6.6113572999999995E-2</v>
      </c>
      <c r="W237" s="135">
        <v>9.392597200000001E-2</v>
      </c>
      <c r="X237" s="135">
        <v>0.11693981999999999</v>
      </c>
      <c r="Y237" s="136">
        <v>0.13588272300000001</v>
      </c>
    </row>
    <row r="238" spans="1:25">
      <c r="A238" s="125" t="s">
        <v>48</v>
      </c>
      <c r="B238" t="s">
        <v>75</v>
      </c>
      <c r="C238" s="186" t="s">
        <v>113</v>
      </c>
      <c r="D238" t="s">
        <v>221</v>
      </c>
      <c r="E238" t="s">
        <v>376</v>
      </c>
      <c r="F238" s="134">
        <v>3.356793441666666</v>
      </c>
      <c r="G238" s="135">
        <v>6.7765312830555517</v>
      </c>
      <c r="H238" s="135">
        <v>10.161245027499993</v>
      </c>
      <c r="I238" s="135">
        <v>16.740741955277777</v>
      </c>
      <c r="J238" s="136">
        <v>18.174613347222206</v>
      </c>
      <c r="K238" s="135">
        <v>0</v>
      </c>
      <c r="L238" s="135">
        <v>0</v>
      </c>
      <c r="M238" s="135">
        <v>1.7142037600000002E-4</v>
      </c>
      <c r="N238" s="135">
        <v>2.0008169999999995E-4</v>
      </c>
      <c r="O238" s="135">
        <v>1.9766727999999997E-4</v>
      </c>
      <c r="P238" s="134">
        <v>0</v>
      </c>
      <c r="Q238" s="135">
        <v>0</v>
      </c>
      <c r="R238" s="135">
        <v>0</v>
      </c>
      <c r="S238" s="135">
        <v>0</v>
      </c>
      <c r="T238" s="136">
        <v>0</v>
      </c>
      <c r="U238" s="135">
        <v>6.2341209999999996E-3</v>
      </c>
      <c r="V238" s="135">
        <v>1.4948407000000002E-2</v>
      </c>
      <c r="W238" s="135">
        <v>1.1676011E-2</v>
      </c>
      <c r="X238" s="135">
        <v>9.8452340000000013E-3</v>
      </c>
      <c r="Y238" s="136">
        <v>1.0224925000000001E-2</v>
      </c>
    </row>
    <row r="239" spans="1:25">
      <c r="A239" s="125" t="s">
        <v>48</v>
      </c>
      <c r="B239" t="s">
        <v>75</v>
      </c>
      <c r="C239" s="186" t="s">
        <v>113</v>
      </c>
      <c r="D239" t="s">
        <v>223</v>
      </c>
      <c r="E239" t="s">
        <v>376</v>
      </c>
      <c r="F239" s="134">
        <v>2.0443955925000012</v>
      </c>
      <c r="G239" s="135">
        <v>2.9872492991666673</v>
      </c>
      <c r="H239" s="135">
        <v>3.3346078683333324</v>
      </c>
      <c r="I239" s="135">
        <v>3.9088994097222245</v>
      </c>
      <c r="J239" s="136">
        <v>4.1350308838888896</v>
      </c>
      <c r="K239" s="135">
        <v>0</v>
      </c>
      <c r="L239" s="135">
        <v>0</v>
      </c>
      <c r="M239" s="135">
        <v>6.865800000000001E-7</v>
      </c>
      <c r="N239" s="135">
        <v>6.3923999999999989E-7</v>
      </c>
      <c r="O239" s="135">
        <v>1.6537199999999992E-6</v>
      </c>
      <c r="P239" s="134">
        <v>0</v>
      </c>
      <c r="Q239" s="135">
        <v>0</v>
      </c>
      <c r="R239" s="135">
        <v>0</v>
      </c>
      <c r="S239" s="135">
        <v>0</v>
      </c>
      <c r="T239" s="136">
        <v>0</v>
      </c>
      <c r="U239" s="135">
        <v>4.9200069999999988E-3</v>
      </c>
      <c r="V239" s="135">
        <v>1.3538932000000002E-2</v>
      </c>
      <c r="W239" s="135">
        <v>1.3001811999999998E-2</v>
      </c>
      <c r="X239" s="135">
        <v>1.3173090999999996E-2</v>
      </c>
      <c r="Y239" s="136">
        <v>1.4425170999999997E-2</v>
      </c>
    </row>
    <row r="240" spans="1:25">
      <c r="A240" s="125" t="s">
        <v>48</v>
      </c>
      <c r="B240" t="s">
        <v>75</v>
      </c>
      <c r="C240" s="186" t="s">
        <v>115</v>
      </c>
      <c r="D240" t="s">
        <v>156</v>
      </c>
      <c r="E240" t="s">
        <v>376</v>
      </c>
      <c r="F240" s="134">
        <v>3.5046098399999996</v>
      </c>
      <c r="G240" s="135">
        <v>5.229196741</v>
      </c>
      <c r="H240" s="135">
        <v>6.1110604410000011</v>
      </c>
      <c r="I240" s="135">
        <v>7.3380193269999996</v>
      </c>
      <c r="J240" s="136">
        <v>8.3162903260000007</v>
      </c>
      <c r="K240" s="135">
        <v>0</v>
      </c>
      <c r="L240" s="135">
        <v>0</v>
      </c>
      <c r="M240" s="135">
        <v>0</v>
      </c>
      <c r="N240" s="135">
        <v>0</v>
      </c>
      <c r="O240" s="135">
        <v>0</v>
      </c>
      <c r="P240" s="134">
        <v>0</v>
      </c>
      <c r="Q240" s="135">
        <v>0</v>
      </c>
      <c r="R240" s="135">
        <v>0</v>
      </c>
      <c r="S240" s="135">
        <v>0</v>
      </c>
      <c r="T240" s="136">
        <v>0</v>
      </c>
      <c r="U240" s="135">
        <v>0.41838962899999999</v>
      </c>
      <c r="V240" s="135">
        <v>2.7252446589999999</v>
      </c>
      <c r="W240" s="135">
        <v>4.1613943999999998</v>
      </c>
      <c r="X240" s="135">
        <v>5.3206475400000004</v>
      </c>
      <c r="Y240" s="136">
        <v>6.224522866</v>
      </c>
    </row>
    <row r="241" spans="1:25">
      <c r="A241" s="125" t="s">
        <v>48</v>
      </c>
      <c r="B241" t="s">
        <v>75</v>
      </c>
      <c r="C241" s="186" t="s">
        <v>160</v>
      </c>
      <c r="D241" t="s">
        <v>158</v>
      </c>
      <c r="E241" t="s">
        <v>376</v>
      </c>
      <c r="F241" s="134">
        <v>0.49120099599999995</v>
      </c>
      <c r="G241" s="135">
        <v>0.78823535</v>
      </c>
      <c r="H241" s="135">
        <v>0.96538822099999999</v>
      </c>
      <c r="I241" s="135">
        <v>1.1449770749999999</v>
      </c>
      <c r="J241" s="136">
        <v>1.210467682</v>
      </c>
      <c r="K241" s="135">
        <v>0</v>
      </c>
      <c r="L241" s="135">
        <v>0</v>
      </c>
      <c r="M241" s="135">
        <v>0</v>
      </c>
      <c r="N241" s="135">
        <v>0</v>
      </c>
      <c r="O241" s="135">
        <v>0</v>
      </c>
      <c r="P241" s="134">
        <v>0</v>
      </c>
      <c r="Q241" s="135">
        <v>0</v>
      </c>
      <c r="R241" s="135">
        <v>0</v>
      </c>
      <c r="S241" s="135">
        <v>0</v>
      </c>
      <c r="T241" s="136">
        <v>0</v>
      </c>
      <c r="U241" s="135">
        <v>2.3692549999999998E-3</v>
      </c>
      <c r="V241" s="135">
        <v>5.3251699999999997E-3</v>
      </c>
      <c r="W241" s="135">
        <v>3.815836E-3</v>
      </c>
      <c r="X241" s="135">
        <v>2.9156490000000002E-3</v>
      </c>
      <c r="Y241" s="136">
        <v>2.9017560000000001E-3</v>
      </c>
    </row>
    <row r="242" spans="1:25">
      <c r="A242" s="125" t="s">
        <v>48</v>
      </c>
      <c r="B242" t="s">
        <v>75</v>
      </c>
      <c r="C242" s="186" t="s">
        <v>227</v>
      </c>
      <c r="D242" t="s">
        <v>225</v>
      </c>
      <c r="E242" t="s">
        <v>376</v>
      </c>
      <c r="F242" s="134">
        <v>0.59165775000000009</v>
      </c>
      <c r="G242" s="135">
        <v>1.0200585510000002</v>
      </c>
      <c r="H242" s="135">
        <v>1.4222880849999999</v>
      </c>
      <c r="I242" s="135">
        <v>1.8828241879999998</v>
      </c>
      <c r="J242" s="136">
        <v>2.1567121309999999</v>
      </c>
      <c r="K242" s="135">
        <v>0</v>
      </c>
      <c r="L242" s="135">
        <v>0</v>
      </c>
      <c r="M242" s="135">
        <v>0</v>
      </c>
      <c r="N242" s="135">
        <v>0</v>
      </c>
      <c r="O242" s="135">
        <v>0</v>
      </c>
      <c r="P242" s="134">
        <v>0</v>
      </c>
      <c r="Q242" s="135">
        <v>1.78042E-4</v>
      </c>
      <c r="R242" s="135">
        <v>1.6966299999999999E-4</v>
      </c>
      <c r="S242" s="135">
        <v>1.8918E-4</v>
      </c>
      <c r="T242" s="136">
        <v>1.7979999999999998E-4</v>
      </c>
      <c r="U242" s="135">
        <v>6.023473E-2</v>
      </c>
      <c r="V242" s="135">
        <v>0.40340362699999999</v>
      </c>
      <c r="W242" s="135">
        <v>0.62146310900000001</v>
      </c>
      <c r="X242" s="135">
        <v>0.79786897000000001</v>
      </c>
      <c r="Y242" s="136">
        <v>0.93531926200000004</v>
      </c>
    </row>
    <row r="243" spans="1:25">
      <c r="A243" s="125" t="s">
        <v>48</v>
      </c>
      <c r="B243" t="s">
        <v>75</v>
      </c>
      <c r="C243" s="186" t="s">
        <v>227</v>
      </c>
      <c r="D243" t="s">
        <v>228</v>
      </c>
      <c r="E243" t="s">
        <v>376</v>
      </c>
      <c r="F243" s="134">
        <v>4.3275209999999995E-2</v>
      </c>
      <c r="G243" s="135">
        <v>7.179437000000001E-2</v>
      </c>
      <c r="H243" s="135">
        <v>9.6198111999999988E-2</v>
      </c>
      <c r="I243" s="135">
        <v>0.12424632099999999</v>
      </c>
      <c r="J243" s="136">
        <v>0.146628489</v>
      </c>
      <c r="K243" s="135">
        <v>0</v>
      </c>
      <c r="L243" s="135">
        <v>0</v>
      </c>
      <c r="M243" s="135">
        <v>0</v>
      </c>
      <c r="N243" s="135">
        <v>0</v>
      </c>
      <c r="O243" s="135">
        <v>0</v>
      </c>
      <c r="P243" s="134">
        <v>0</v>
      </c>
      <c r="Q243" s="135">
        <v>2.5640000000000002E-5</v>
      </c>
      <c r="R243" s="135">
        <v>2.5640000000000002E-5</v>
      </c>
      <c r="S243" s="135">
        <v>3.2809999999999999E-5</v>
      </c>
      <c r="T243" s="136">
        <v>3.2564999999999997E-5</v>
      </c>
      <c r="U243" s="135">
        <v>5.5866991999999997E-2</v>
      </c>
      <c r="V243" s="135">
        <v>0.37267358499999997</v>
      </c>
      <c r="W243" s="135">
        <v>0.57194815099999996</v>
      </c>
      <c r="X243" s="135">
        <v>0.731689268</v>
      </c>
      <c r="Y243" s="136">
        <v>0.85490467400000003</v>
      </c>
    </row>
    <row r="244" spans="1:25">
      <c r="A244" s="125" t="s">
        <v>48</v>
      </c>
      <c r="B244" t="s">
        <v>75</v>
      </c>
      <c r="C244" s="186" t="s">
        <v>227</v>
      </c>
      <c r="D244" t="s">
        <v>230</v>
      </c>
      <c r="E244" t="s">
        <v>376</v>
      </c>
      <c r="F244" s="134">
        <v>0.93653741999999984</v>
      </c>
      <c r="G244" s="135">
        <v>2.1187840989999995</v>
      </c>
      <c r="H244" s="135">
        <v>4.1099618870000008</v>
      </c>
      <c r="I244" s="135">
        <v>6.4601310589999983</v>
      </c>
      <c r="J244" s="136">
        <v>8.1120203810000007</v>
      </c>
      <c r="K244" s="135">
        <v>0</v>
      </c>
      <c r="L244" s="135">
        <v>0</v>
      </c>
      <c r="M244" s="135">
        <v>0</v>
      </c>
      <c r="N244" s="135">
        <v>0</v>
      </c>
      <c r="O244" s="135">
        <v>0</v>
      </c>
      <c r="P244" s="134">
        <v>0</v>
      </c>
      <c r="Q244" s="135">
        <v>9.3344999999999995E-5</v>
      </c>
      <c r="R244" s="135">
        <v>9.0099999999999995E-5</v>
      </c>
      <c r="S244" s="135">
        <v>1.184E-4</v>
      </c>
      <c r="T244" s="136">
        <v>1.1400000000000001E-4</v>
      </c>
      <c r="U244" s="135">
        <v>1.702408E-2</v>
      </c>
      <c r="V244" s="135">
        <v>0.113909814</v>
      </c>
      <c r="W244" s="135">
        <v>0.17530764099999999</v>
      </c>
      <c r="X244" s="135">
        <v>0.22484570700000001</v>
      </c>
      <c r="Y244" s="136">
        <v>0.26334237199999999</v>
      </c>
    </row>
    <row r="245" spans="1:25">
      <c r="A245" s="125" t="s">
        <v>48</v>
      </c>
      <c r="B245" t="s">
        <v>75</v>
      </c>
      <c r="C245" s="186" t="s">
        <v>227</v>
      </c>
      <c r="D245" t="s">
        <v>232</v>
      </c>
      <c r="E245" t="s">
        <v>376</v>
      </c>
      <c r="F245" s="134">
        <v>1.5163509350000002</v>
      </c>
      <c r="G245" s="135">
        <v>2.5129239400000003</v>
      </c>
      <c r="H245" s="135">
        <v>3.0104287709999999</v>
      </c>
      <c r="I245" s="135">
        <v>3.488965796</v>
      </c>
      <c r="J245" s="136">
        <v>3.7259720349999998</v>
      </c>
      <c r="K245" s="135">
        <v>0</v>
      </c>
      <c r="L245" s="135">
        <v>0</v>
      </c>
      <c r="M245" s="135">
        <v>0</v>
      </c>
      <c r="N245" s="135">
        <v>0</v>
      </c>
      <c r="O245" s="135">
        <v>0</v>
      </c>
      <c r="P245" s="134">
        <v>0</v>
      </c>
      <c r="Q245" s="135">
        <v>4.5580000000000001E-5</v>
      </c>
      <c r="R245" s="135">
        <v>4.3970000000000001E-5</v>
      </c>
      <c r="S245" s="135">
        <v>5.6900000000000001E-5</v>
      </c>
      <c r="T245" s="136">
        <v>5.4410000000000003E-5</v>
      </c>
      <c r="U245" s="135">
        <v>1.6423498000000002E-2</v>
      </c>
      <c r="V245" s="135">
        <v>0.10982370700000001</v>
      </c>
      <c r="W245" s="135">
        <v>0.16894488399999999</v>
      </c>
      <c r="X245" s="135">
        <v>0.21660333600000001</v>
      </c>
      <c r="Y245" s="136">
        <v>0.25357175799999998</v>
      </c>
    </row>
    <row r="246" spans="1:25">
      <c r="A246" s="125" t="s">
        <v>48</v>
      </c>
      <c r="B246" t="s">
        <v>75</v>
      </c>
      <c r="C246" s="186" t="s">
        <v>301</v>
      </c>
      <c r="D246" t="s">
        <v>299</v>
      </c>
      <c r="E246" t="s">
        <v>376</v>
      </c>
      <c r="F246" s="134">
        <v>1.3110876449999997</v>
      </c>
      <c r="G246" s="135">
        <v>3.5900166190000005</v>
      </c>
      <c r="H246" s="135">
        <v>6.0605476520000003</v>
      </c>
      <c r="I246" s="135">
        <v>9.0688011720000006</v>
      </c>
      <c r="J246" s="136">
        <v>11.440006202999998</v>
      </c>
      <c r="K246" s="135">
        <v>0</v>
      </c>
      <c r="L246" s="135">
        <v>0</v>
      </c>
      <c r="M246" s="135">
        <v>0</v>
      </c>
      <c r="N246" s="135">
        <v>0</v>
      </c>
      <c r="O246" s="135">
        <v>0</v>
      </c>
      <c r="P246" s="134">
        <v>0</v>
      </c>
      <c r="Q246" s="135">
        <v>0</v>
      </c>
      <c r="R246" s="135">
        <v>0</v>
      </c>
      <c r="S246" s="135">
        <v>0</v>
      </c>
      <c r="T246" s="136">
        <v>0</v>
      </c>
      <c r="U246" s="135">
        <v>3.3942194000000002E-2</v>
      </c>
      <c r="V246" s="135">
        <v>0.18196363500000001</v>
      </c>
      <c r="W246" s="135">
        <v>0.26249587200000002</v>
      </c>
      <c r="X246" s="135">
        <v>0.33017721999999999</v>
      </c>
      <c r="Y246" s="136">
        <v>0.38701995100000003</v>
      </c>
    </row>
    <row r="247" spans="1:25">
      <c r="A247" s="125" t="s">
        <v>48</v>
      </c>
      <c r="B247" t="s">
        <v>75</v>
      </c>
      <c r="C247" s="186" t="s">
        <v>301</v>
      </c>
      <c r="D247" t="s">
        <v>302</v>
      </c>
      <c r="E247" t="s">
        <v>376</v>
      </c>
      <c r="F247" s="134">
        <v>1.6614154819999998</v>
      </c>
      <c r="G247" s="135">
        <v>3.4840082600000004</v>
      </c>
      <c r="H247" s="135">
        <v>6.1021997799999994</v>
      </c>
      <c r="I247" s="135">
        <v>9.9984497559999994</v>
      </c>
      <c r="J247" s="136">
        <v>13.125824896999996</v>
      </c>
      <c r="K247" s="135">
        <v>0</v>
      </c>
      <c r="L247" s="135">
        <v>0</v>
      </c>
      <c r="M247" s="135">
        <v>0</v>
      </c>
      <c r="N247" s="135">
        <v>0</v>
      </c>
      <c r="O247" s="135">
        <v>0</v>
      </c>
      <c r="P247" s="134">
        <v>0</v>
      </c>
      <c r="Q247" s="135">
        <v>0</v>
      </c>
      <c r="R247" s="135">
        <v>0</v>
      </c>
      <c r="S247" s="135">
        <v>0</v>
      </c>
      <c r="T247" s="136">
        <v>0</v>
      </c>
      <c r="U247" s="135">
        <v>3.2480170000000003E-2</v>
      </c>
      <c r="V247" s="135">
        <v>0.170455307</v>
      </c>
      <c r="W247" s="135">
        <v>0.24294342699999999</v>
      </c>
      <c r="X247" s="135">
        <v>0.302975779</v>
      </c>
      <c r="Y247" s="136">
        <v>0.35280900100000001</v>
      </c>
    </row>
    <row r="248" spans="1:25">
      <c r="A248" s="125" t="s">
        <v>48</v>
      </c>
      <c r="B248" t="s">
        <v>75</v>
      </c>
      <c r="C248" s="186" t="s">
        <v>301</v>
      </c>
      <c r="D248" t="s">
        <v>304</v>
      </c>
      <c r="E248" t="s">
        <v>376</v>
      </c>
      <c r="F248" s="134">
        <v>0.43146082199999997</v>
      </c>
      <c r="G248" s="135">
        <v>0.73537666499999987</v>
      </c>
      <c r="H248" s="135">
        <v>1.0862307290000002</v>
      </c>
      <c r="I248" s="135">
        <v>1.557407682</v>
      </c>
      <c r="J248" s="136">
        <v>1.9263037740000002</v>
      </c>
      <c r="K248" s="135">
        <v>0</v>
      </c>
      <c r="L248" s="135">
        <v>0</v>
      </c>
      <c r="M248" s="135">
        <v>0</v>
      </c>
      <c r="N248" s="135">
        <v>0</v>
      </c>
      <c r="O248" s="135">
        <v>0</v>
      </c>
      <c r="P248" s="134">
        <v>0</v>
      </c>
      <c r="Q248" s="135">
        <v>0</v>
      </c>
      <c r="R248" s="135">
        <v>0</v>
      </c>
      <c r="S248" s="135">
        <v>0</v>
      </c>
      <c r="T248" s="136">
        <v>0</v>
      </c>
      <c r="U248" s="135">
        <v>0.188493309</v>
      </c>
      <c r="V248" s="135">
        <v>1.250919326</v>
      </c>
      <c r="W248" s="135">
        <v>1.930247182</v>
      </c>
      <c r="X248" s="135">
        <v>2.4879064140000002</v>
      </c>
      <c r="Y248" s="136">
        <v>2.9307516329999999</v>
      </c>
    </row>
    <row r="249" spans="1:25">
      <c r="A249" s="125" t="s">
        <v>48</v>
      </c>
      <c r="B249" t="s">
        <v>75</v>
      </c>
      <c r="C249" s="186" t="s">
        <v>301</v>
      </c>
      <c r="D249" t="s">
        <v>306</v>
      </c>
      <c r="E249" t="s">
        <v>376</v>
      </c>
      <c r="F249" s="134">
        <v>1.36235576</v>
      </c>
      <c r="G249" s="135">
        <v>2.7374088129999996</v>
      </c>
      <c r="H249" s="135">
        <v>4.7379353589999997</v>
      </c>
      <c r="I249" s="135">
        <v>7.7382999079999992</v>
      </c>
      <c r="J249" s="136">
        <v>9.9951759300000003</v>
      </c>
      <c r="K249" s="135">
        <v>0</v>
      </c>
      <c r="L249" s="135">
        <v>0</v>
      </c>
      <c r="M249" s="135">
        <v>0</v>
      </c>
      <c r="N249" s="135">
        <v>0</v>
      </c>
      <c r="O249" s="135">
        <v>0</v>
      </c>
      <c r="P249" s="134">
        <v>0</v>
      </c>
      <c r="Q249" s="135">
        <v>0</v>
      </c>
      <c r="R249" s="135">
        <v>0</v>
      </c>
      <c r="S249" s="135">
        <v>0</v>
      </c>
      <c r="T249" s="136">
        <v>0</v>
      </c>
      <c r="U249" s="135">
        <v>2.8678069E-2</v>
      </c>
      <c r="V249" s="135">
        <v>6.7461052999999993E-2</v>
      </c>
      <c r="W249" s="135">
        <v>5.1963230999999999E-2</v>
      </c>
      <c r="X249" s="135">
        <v>4.3116599999999998E-2</v>
      </c>
      <c r="Y249" s="136">
        <v>4.4251863000000002E-2</v>
      </c>
    </row>
    <row r="250" spans="1:25">
      <c r="A250" s="125" t="s">
        <v>48</v>
      </c>
      <c r="B250" t="s">
        <v>75</v>
      </c>
      <c r="C250" s="186" t="s">
        <v>301</v>
      </c>
      <c r="D250" t="s">
        <v>308</v>
      </c>
      <c r="E250" t="s">
        <v>376</v>
      </c>
      <c r="F250" s="134">
        <v>3.2284243319999995</v>
      </c>
      <c r="G250" s="135">
        <v>6.5706952989999996</v>
      </c>
      <c r="H250" s="135">
        <v>11.563364617999998</v>
      </c>
      <c r="I250" s="135">
        <v>18.859197308999999</v>
      </c>
      <c r="J250" s="136">
        <v>24.103693159999999</v>
      </c>
      <c r="K250" s="135">
        <v>0</v>
      </c>
      <c r="L250" s="135">
        <v>0</v>
      </c>
      <c r="M250" s="135">
        <v>0</v>
      </c>
      <c r="N250" s="135">
        <v>0</v>
      </c>
      <c r="O250" s="135">
        <v>0</v>
      </c>
      <c r="P250" s="134">
        <v>0</v>
      </c>
      <c r="Q250" s="135">
        <v>0</v>
      </c>
      <c r="R250" s="135">
        <v>0</v>
      </c>
      <c r="S250" s="135">
        <v>0</v>
      </c>
      <c r="T250" s="136">
        <v>0</v>
      </c>
      <c r="U250" s="135">
        <v>0.34867082499999996</v>
      </c>
      <c r="V250" s="135">
        <v>2.2510166550000004</v>
      </c>
      <c r="W250" s="135">
        <v>3.4185380169999999</v>
      </c>
      <c r="X250" s="135">
        <v>4.3517817870000002</v>
      </c>
      <c r="Y250" s="136">
        <v>5.071654455</v>
      </c>
    </row>
    <row r="251" spans="1:25">
      <c r="A251" s="125" t="s">
        <v>48</v>
      </c>
      <c r="B251" t="s">
        <v>75</v>
      </c>
      <c r="C251" s="186" t="s">
        <v>301</v>
      </c>
      <c r="D251" t="s">
        <v>310</v>
      </c>
      <c r="E251" t="s">
        <v>376</v>
      </c>
      <c r="F251" s="134">
        <v>2.5511666909999997</v>
      </c>
      <c r="G251" s="135">
        <v>6.1083181670000002</v>
      </c>
      <c r="H251" s="135">
        <v>12.316454087999997</v>
      </c>
      <c r="I251" s="135">
        <v>21.703765175000001</v>
      </c>
      <c r="J251" s="136">
        <v>28.744809942000007</v>
      </c>
      <c r="K251" s="135">
        <v>0</v>
      </c>
      <c r="L251" s="135">
        <v>0</v>
      </c>
      <c r="M251" s="135">
        <v>0</v>
      </c>
      <c r="N251" s="135">
        <v>0</v>
      </c>
      <c r="O251" s="135">
        <v>0</v>
      </c>
      <c r="P251" s="134">
        <v>0</v>
      </c>
      <c r="Q251" s="135">
        <v>0</v>
      </c>
      <c r="R251" s="135">
        <v>0</v>
      </c>
      <c r="S251" s="135">
        <v>0</v>
      </c>
      <c r="T251" s="136">
        <v>0</v>
      </c>
      <c r="U251" s="135">
        <v>0.108714214</v>
      </c>
      <c r="V251" s="135">
        <v>0.642556609</v>
      </c>
      <c r="W251" s="135">
        <v>0.95054298199999998</v>
      </c>
      <c r="X251" s="135">
        <v>1.1987728850000001</v>
      </c>
      <c r="Y251" s="136">
        <v>1.3943315000000001</v>
      </c>
    </row>
    <row r="252" spans="1:25">
      <c r="A252" s="125" t="s">
        <v>48</v>
      </c>
      <c r="B252" t="s">
        <v>75</v>
      </c>
      <c r="C252" s="186" t="s">
        <v>301</v>
      </c>
      <c r="D252" t="s">
        <v>312</v>
      </c>
      <c r="E252" t="s">
        <v>376</v>
      </c>
      <c r="F252" s="134">
        <v>0.24451817200000003</v>
      </c>
      <c r="G252" s="135">
        <v>0.59302181999999992</v>
      </c>
      <c r="H252" s="135">
        <v>1.2124834810000003</v>
      </c>
      <c r="I252" s="135">
        <v>2.2264636750000002</v>
      </c>
      <c r="J252" s="136">
        <v>3.0455975350000002</v>
      </c>
      <c r="K252" s="135">
        <v>0</v>
      </c>
      <c r="L252" s="135">
        <v>0</v>
      </c>
      <c r="M252" s="135">
        <v>0</v>
      </c>
      <c r="N252" s="135">
        <v>0</v>
      </c>
      <c r="O252" s="135">
        <v>0</v>
      </c>
      <c r="P252" s="134">
        <v>0</v>
      </c>
      <c r="Q252" s="135">
        <v>0</v>
      </c>
      <c r="R252" s="135">
        <v>0</v>
      </c>
      <c r="S252" s="135">
        <v>0</v>
      </c>
      <c r="T252" s="136">
        <v>0</v>
      </c>
      <c r="U252" s="135">
        <v>0.120658078</v>
      </c>
      <c r="V252" s="135">
        <v>0.80112629199999996</v>
      </c>
      <c r="W252" s="135">
        <v>1.2308570780000001</v>
      </c>
      <c r="X252" s="135">
        <v>1.577885743</v>
      </c>
      <c r="Y252" s="136">
        <v>1.8478759039999999</v>
      </c>
    </row>
    <row r="253" spans="1:25">
      <c r="A253" s="125" t="s">
        <v>48</v>
      </c>
      <c r="B253" t="s">
        <v>75</v>
      </c>
      <c r="C253" s="186" t="s">
        <v>117</v>
      </c>
      <c r="D253" t="s">
        <v>161</v>
      </c>
      <c r="E253" t="s">
        <v>376</v>
      </c>
      <c r="F253" s="134">
        <v>6.6284735880000003</v>
      </c>
      <c r="G253" s="135">
        <v>13.974815707000001</v>
      </c>
      <c r="H253" s="135">
        <v>19.025614039000001</v>
      </c>
      <c r="I253" s="135">
        <v>25.021010243000003</v>
      </c>
      <c r="J253" s="136">
        <v>30.318021449</v>
      </c>
      <c r="K253" s="135">
        <v>0</v>
      </c>
      <c r="L253" s="135">
        <v>0</v>
      </c>
      <c r="M253" s="135">
        <v>0</v>
      </c>
      <c r="N253" s="135">
        <v>0</v>
      </c>
      <c r="O253" s="135">
        <v>0</v>
      </c>
      <c r="P253" s="134">
        <v>0</v>
      </c>
      <c r="Q253" s="135">
        <v>0</v>
      </c>
      <c r="R253" s="135">
        <v>0</v>
      </c>
      <c r="S253" s="135">
        <v>0</v>
      </c>
      <c r="T253" s="136">
        <v>0</v>
      </c>
      <c r="U253" s="135">
        <v>3.1341096999999998E-2</v>
      </c>
      <c r="V253" s="135">
        <v>0.16842958199999999</v>
      </c>
      <c r="W253" s="135">
        <v>0.24194016499999998</v>
      </c>
      <c r="X253" s="135">
        <v>0.30240312499999999</v>
      </c>
      <c r="Y253" s="136">
        <v>0.35197894599999996</v>
      </c>
    </row>
    <row r="254" spans="1:25">
      <c r="A254" s="125" t="s">
        <v>48</v>
      </c>
      <c r="B254" t="s">
        <v>75</v>
      </c>
      <c r="C254" s="186" t="s">
        <v>117</v>
      </c>
      <c r="D254" t="s">
        <v>163</v>
      </c>
      <c r="E254" t="s">
        <v>376</v>
      </c>
      <c r="F254" s="134">
        <v>5.8616729999999995E-3</v>
      </c>
      <c r="G254" s="135">
        <v>1.1564982E-2</v>
      </c>
      <c r="H254" s="135">
        <v>1.4400282E-2</v>
      </c>
      <c r="I254" s="135">
        <v>1.7482214999999999E-2</v>
      </c>
      <c r="J254" s="136">
        <v>2.0099543000000001E-2</v>
      </c>
      <c r="K254" s="135">
        <v>0</v>
      </c>
      <c r="L254" s="135">
        <v>0</v>
      </c>
      <c r="M254" s="135">
        <v>0</v>
      </c>
      <c r="N254" s="135">
        <v>0</v>
      </c>
      <c r="O254" s="135">
        <v>0</v>
      </c>
      <c r="P254" s="134">
        <v>0</v>
      </c>
      <c r="Q254" s="135">
        <v>0</v>
      </c>
      <c r="R254" s="135">
        <v>0</v>
      </c>
      <c r="S254" s="135">
        <v>0</v>
      </c>
      <c r="T254" s="136">
        <v>0</v>
      </c>
      <c r="U254" s="135">
        <v>4.85E-5</v>
      </c>
      <c r="V254" s="135">
        <v>3.2315000000000002E-4</v>
      </c>
      <c r="W254" s="135">
        <v>4.9539699999999996E-4</v>
      </c>
      <c r="X254" s="135">
        <v>6.3281500000000001E-4</v>
      </c>
      <c r="Y254" s="136">
        <v>7.3798500000000003E-4</v>
      </c>
    </row>
    <row r="255" spans="1:25">
      <c r="A255" s="125" t="s">
        <v>48</v>
      </c>
      <c r="B255" t="s">
        <v>75</v>
      </c>
      <c r="C255" s="186" t="s">
        <v>119</v>
      </c>
      <c r="D255" t="s">
        <v>165</v>
      </c>
      <c r="E255" t="s">
        <v>376</v>
      </c>
      <c r="F255" s="134">
        <v>6.410503898</v>
      </c>
      <c r="G255" s="135">
        <v>12.307279343999999</v>
      </c>
      <c r="H255" s="135">
        <v>19.447411502000005</v>
      </c>
      <c r="I255" s="135">
        <v>28.314187695999998</v>
      </c>
      <c r="J255" s="136">
        <v>34.633439063999994</v>
      </c>
      <c r="K255" s="135">
        <v>0</v>
      </c>
      <c r="L255" s="135">
        <v>0</v>
      </c>
      <c r="M255" s="135">
        <v>0</v>
      </c>
      <c r="N255" s="135">
        <v>0</v>
      </c>
      <c r="O255" s="135">
        <v>0</v>
      </c>
      <c r="P255" s="134">
        <v>3.208752E-3</v>
      </c>
      <c r="Q255" s="135">
        <v>1.3153146000000001E-2</v>
      </c>
      <c r="R255" s="135">
        <v>1.5624586999999997E-2</v>
      </c>
      <c r="S255" s="135">
        <v>1.3599662E-2</v>
      </c>
      <c r="T255" s="136">
        <v>1.3341861000000002E-2</v>
      </c>
      <c r="U255" s="135">
        <v>0.58173951800000001</v>
      </c>
      <c r="V255" s="135">
        <v>3.8642126480000001</v>
      </c>
      <c r="W255" s="135">
        <v>5.9331198659999993</v>
      </c>
      <c r="X255" s="135">
        <v>7.5958305300000006</v>
      </c>
      <c r="Y255" s="136">
        <v>8.885747963</v>
      </c>
    </row>
    <row r="256" spans="1:25">
      <c r="A256" s="125" t="s">
        <v>48</v>
      </c>
      <c r="B256" t="s">
        <v>75</v>
      </c>
      <c r="C256" s="186" t="s">
        <v>119</v>
      </c>
      <c r="D256" t="s">
        <v>167</v>
      </c>
      <c r="E256" t="s">
        <v>376</v>
      </c>
      <c r="F256" s="134">
        <v>0.32706849999999998</v>
      </c>
      <c r="G256" s="135">
        <v>0.57450383199999999</v>
      </c>
      <c r="H256" s="135">
        <v>0.80790436399999999</v>
      </c>
      <c r="I256" s="135">
        <v>1.049256636</v>
      </c>
      <c r="J256" s="136">
        <v>1.145314537</v>
      </c>
      <c r="K256" s="135">
        <v>0</v>
      </c>
      <c r="L256" s="135">
        <v>0</v>
      </c>
      <c r="M256" s="135">
        <v>0</v>
      </c>
      <c r="N256" s="135">
        <v>0</v>
      </c>
      <c r="O256" s="135">
        <v>0</v>
      </c>
      <c r="P256" s="134">
        <v>4.1853700000000002E-4</v>
      </c>
      <c r="Q256" s="135">
        <v>1.65256E-3</v>
      </c>
      <c r="R256" s="135">
        <v>1.9165359999999999E-3</v>
      </c>
      <c r="S256" s="135">
        <v>1.5869730000000002E-3</v>
      </c>
      <c r="T256" s="136">
        <v>1.497172E-3</v>
      </c>
      <c r="U256" s="135">
        <v>1.3748019E-2</v>
      </c>
      <c r="V256" s="135">
        <v>3.5188086E-2</v>
      </c>
      <c r="W256" s="135">
        <v>3.0442368000000001E-2</v>
      </c>
      <c r="X256" s="135">
        <v>2.8274703000000002E-2</v>
      </c>
      <c r="Y256" s="136">
        <v>3.0238987000000002E-2</v>
      </c>
    </row>
    <row r="257" spans="1:25">
      <c r="A257" s="125" t="s">
        <v>48</v>
      </c>
      <c r="B257" t="s">
        <v>75</v>
      </c>
      <c r="C257" s="186" t="s">
        <v>119</v>
      </c>
      <c r="D257" t="s">
        <v>169</v>
      </c>
      <c r="E257" t="s">
        <v>376</v>
      </c>
      <c r="F257" s="134">
        <v>0.77050647600000011</v>
      </c>
      <c r="G257" s="135">
        <v>1.360598193</v>
      </c>
      <c r="H257" s="135">
        <v>1.862371013</v>
      </c>
      <c r="I257" s="135">
        <v>2.3700231299999999</v>
      </c>
      <c r="J257" s="136">
        <v>2.60801288</v>
      </c>
      <c r="K257" s="135">
        <v>0</v>
      </c>
      <c r="L257" s="135">
        <v>0</v>
      </c>
      <c r="M257" s="135">
        <v>0</v>
      </c>
      <c r="N257" s="135">
        <v>0</v>
      </c>
      <c r="O257" s="135">
        <v>0</v>
      </c>
      <c r="P257" s="134">
        <v>2.8001499999999999E-4</v>
      </c>
      <c r="Q257" s="135">
        <v>1.2048E-3</v>
      </c>
      <c r="R257" s="135">
        <v>1.4174540000000001E-3</v>
      </c>
      <c r="S257" s="135">
        <v>1.1806119999999999E-3</v>
      </c>
      <c r="T257" s="136">
        <v>1.103372E-3</v>
      </c>
      <c r="U257" s="135">
        <v>1.1829750999999999E-2</v>
      </c>
      <c r="V257" s="135">
        <v>2.7029658999999998E-2</v>
      </c>
      <c r="W257" s="135">
        <v>1.9906485999999998E-2</v>
      </c>
      <c r="X257" s="135">
        <v>1.5726039000000001E-2</v>
      </c>
      <c r="Y257" s="136">
        <v>1.5866773000000001E-2</v>
      </c>
    </row>
    <row r="258" spans="1:25">
      <c r="A258" s="125" t="s">
        <v>48</v>
      </c>
      <c r="B258" t="s">
        <v>75</v>
      </c>
      <c r="C258" s="186" t="s">
        <v>119</v>
      </c>
      <c r="D258" t="s">
        <v>171</v>
      </c>
      <c r="E258" t="s">
        <v>376</v>
      </c>
      <c r="F258" s="134">
        <v>3.0493601469999994</v>
      </c>
      <c r="G258" s="135">
        <v>8.4715930010000022</v>
      </c>
      <c r="H258" s="135">
        <v>18.906660256999999</v>
      </c>
      <c r="I258" s="135">
        <v>35.603401058999992</v>
      </c>
      <c r="J258" s="136">
        <v>48.645223961999989</v>
      </c>
      <c r="K258" s="135">
        <v>0</v>
      </c>
      <c r="L258" s="135">
        <v>0</v>
      </c>
      <c r="M258" s="135">
        <v>0</v>
      </c>
      <c r="N258" s="135">
        <v>0</v>
      </c>
      <c r="O258" s="135">
        <v>0</v>
      </c>
      <c r="P258" s="134">
        <v>1.8568600000000001E-4</v>
      </c>
      <c r="Q258" s="135">
        <v>8.4185E-4</v>
      </c>
      <c r="R258" s="135">
        <v>1.0029239999999999E-3</v>
      </c>
      <c r="S258" s="135">
        <v>8.4396199999999986E-4</v>
      </c>
      <c r="T258" s="136">
        <v>7.89696E-4</v>
      </c>
      <c r="U258" s="135">
        <v>1.162416E-2</v>
      </c>
      <c r="V258" s="135">
        <v>3.5381327000000004E-2</v>
      </c>
      <c r="W258" s="135">
        <v>3.6700631999999997E-2</v>
      </c>
      <c r="X258" s="135">
        <v>3.8970295000000002E-2</v>
      </c>
      <c r="Y258" s="136">
        <v>4.3416622000000002E-2</v>
      </c>
    </row>
    <row r="259" spans="1:25">
      <c r="A259" s="125" t="s">
        <v>48</v>
      </c>
      <c r="B259" t="s">
        <v>75</v>
      </c>
      <c r="C259" s="186" t="s">
        <v>119</v>
      </c>
      <c r="D259" t="s">
        <v>173</v>
      </c>
      <c r="E259" t="s">
        <v>376</v>
      </c>
      <c r="F259" s="134">
        <v>2.643307278</v>
      </c>
      <c r="G259" s="135">
        <v>5.4727360419999993</v>
      </c>
      <c r="H259" s="135">
        <v>7.853143792</v>
      </c>
      <c r="I259" s="135">
        <v>10.407106260999999</v>
      </c>
      <c r="J259" s="136">
        <v>11.286624711</v>
      </c>
      <c r="K259" s="135">
        <v>0</v>
      </c>
      <c r="L259" s="135">
        <v>0</v>
      </c>
      <c r="M259" s="135">
        <v>0</v>
      </c>
      <c r="N259" s="135">
        <v>0</v>
      </c>
      <c r="O259" s="135">
        <v>0</v>
      </c>
      <c r="P259" s="134">
        <v>3.9090199999999999E-4</v>
      </c>
      <c r="Q259" s="135">
        <v>1.7129179999999999E-3</v>
      </c>
      <c r="R259" s="135">
        <v>2.0404960000000001E-3</v>
      </c>
      <c r="S259" s="135">
        <v>1.7147100000000001E-3</v>
      </c>
      <c r="T259" s="136">
        <v>1.6120240000000001E-3</v>
      </c>
      <c r="U259" s="135">
        <v>4.6847093999999999E-2</v>
      </c>
      <c r="V259" s="135">
        <v>0.24251087700000001</v>
      </c>
      <c r="W259" s="135">
        <v>0.34174112499999998</v>
      </c>
      <c r="X259" s="135">
        <v>0.422815418</v>
      </c>
      <c r="Y259" s="136">
        <v>0.48947031499999999</v>
      </c>
    </row>
    <row r="260" spans="1:25">
      <c r="A260" s="125" t="s">
        <v>48</v>
      </c>
      <c r="B260" t="s">
        <v>75</v>
      </c>
      <c r="C260" s="186" t="s">
        <v>119</v>
      </c>
      <c r="D260" t="s">
        <v>175</v>
      </c>
      <c r="E260" t="s">
        <v>376</v>
      </c>
      <c r="F260" s="134">
        <v>2.6597766100000002</v>
      </c>
      <c r="G260" s="135">
        <v>5.5682008940000003</v>
      </c>
      <c r="H260" s="135">
        <v>9.5871842730000001</v>
      </c>
      <c r="I260" s="135">
        <v>14.317669501000001</v>
      </c>
      <c r="J260" s="136">
        <v>17.067950389</v>
      </c>
      <c r="K260" s="135">
        <v>0</v>
      </c>
      <c r="L260" s="135">
        <v>0</v>
      </c>
      <c r="M260" s="135">
        <v>0</v>
      </c>
      <c r="N260" s="135">
        <v>0</v>
      </c>
      <c r="O260" s="135">
        <v>0</v>
      </c>
      <c r="P260" s="134">
        <v>4.9708900000000004E-4</v>
      </c>
      <c r="Q260" s="135">
        <v>2.0668800000000001E-3</v>
      </c>
      <c r="R260" s="135">
        <v>2.4315340000000004E-3</v>
      </c>
      <c r="S260" s="135">
        <v>2.0242369999999999E-3</v>
      </c>
      <c r="T260" s="136">
        <v>1.903098E-3</v>
      </c>
      <c r="U260" s="135">
        <v>7.2764071E-2</v>
      </c>
      <c r="V260" s="135">
        <v>0.410947652</v>
      </c>
      <c r="W260" s="135">
        <v>0.60128329400000002</v>
      </c>
      <c r="X260" s="135">
        <v>0.75786743600000006</v>
      </c>
      <c r="Y260" s="136">
        <v>0.884846617</v>
      </c>
    </row>
    <row r="261" spans="1:25">
      <c r="A261" s="125" t="s">
        <v>48</v>
      </c>
      <c r="B261" t="s">
        <v>75</v>
      </c>
      <c r="C261" s="186" t="s">
        <v>119</v>
      </c>
      <c r="D261" t="s">
        <v>177</v>
      </c>
      <c r="E261" t="s">
        <v>376</v>
      </c>
      <c r="F261" s="134">
        <v>2.6810986949999998</v>
      </c>
      <c r="G261" s="135">
        <v>5.7881422899999988</v>
      </c>
      <c r="H261" s="135">
        <v>10.44670151</v>
      </c>
      <c r="I261" s="135">
        <v>17.545362984</v>
      </c>
      <c r="J261" s="136">
        <v>22.993798067999997</v>
      </c>
      <c r="K261" s="135">
        <v>0</v>
      </c>
      <c r="L261" s="135">
        <v>0</v>
      </c>
      <c r="M261" s="135">
        <v>0</v>
      </c>
      <c r="N261" s="135">
        <v>0</v>
      </c>
      <c r="O261" s="135">
        <v>0</v>
      </c>
      <c r="P261" s="134">
        <v>3.9937200000000005E-4</v>
      </c>
      <c r="Q261" s="135">
        <v>1.9532159999999998E-3</v>
      </c>
      <c r="R261" s="135">
        <v>2.4163479999999996E-3</v>
      </c>
      <c r="S261" s="135">
        <v>2.0927770000000001E-3</v>
      </c>
      <c r="T261" s="136">
        <v>1.9941939999999999E-3</v>
      </c>
      <c r="U261" s="135">
        <v>4.7104636000000005E-2</v>
      </c>
      <c r="V261" s="135">
        <v>0.270883178</v>
      </c>
      <c r="W261" s="135">
        <v>0.39841533300000004</v>
      </c>
      <c r="X261" s="135">
        <v>0.50310436999999997</v>
      </c>
      <c r="Y261" s="136">
        <v>0.58731588400000001</v>
      </c>
    </row>
    <row r="262" spans="1:25">
      <c r="A262" s="125" t="s">
        <v>48</v>
      </c>
      <c r="B262" t="s">
        <v>75</v>
      </c>
      <c r="C262" s="186" t="s">
        <v>119</v>
      </c>
      <c r="D262" t="s">
        <v>179</v>
      </c>
      <c r="E262" t="s">
        <v>376</v>
      </c>
      <c r="F262" s="134">
        <v>1.0834188630000001</v>
      </c>
      <c r="G262" s="135">
        <v>1.8545267099999998</v>
      </c>
      <c r="H262" s="135">
        <v>2.4321662380000002</v>
      </c>
      <c r="I262" s="135">
        <v>2.8909697460000006</v>
      </c>
      <c r="J262" s="136">
        <v>3.1801075029999999</v>
      </c>
      <c r="K262" s="135">
        <v>0</v>
      </c>
      <c r="L262" s="135">
        <v>0</v>
      </c>
      <c r="M262" s="135">
        <v>0</v>
      </c>
      <c r="N262" s="135">
        <v>0</v>
      </c>
      <c r="O262" s="135">
        <v>0</v>
      </c>
      <c r="P262" s="134">
        <v>3.5015800000000004E-4</v>
      </c>
      <c r="Q262" s="135">
        <v>1.517586E-3</v>
      </c>
      <c r="R262" s="135">
        <v>1.814757E-3</v>
      </c>
      <c r="S262" s="135">
        <v>1.5367879999999999E-3</v>
      </c>
      <c r="T262" s="136">
        <v>1.458062E-3</v>
      </c>
      <c r="U262" s="135">
        <v>1.1311791E-2</v>
      </c>
      <c r="V262" s="135">
        <v>7.2449685E-2</v>
      </c>
      <c r="W262" s="135">
        <v>0.109977703</v>
      </c>
      <c r="X262" s="135">
        <v>0.14028589800000002</v>
      </c>
      <c r="Y262" s="136">
        <v>0.16394857599999998</v>
      </c>
    </row>
    <row r="263" spans="1:25">
      <c r="A263" s="125" t="s">
        <v>48</v>
      </c>
      <c r="B263" t="s">
        <v>75</v>
      </c>
      <c r="C263" s="186" t="s">
        <v>119</v>
      </c>
      <c r="D263" t="s">
        <v>181</v>
      </c>
      <c r="E263" t="s">
        <v>376</v>
      </c>
      <c r="F263" s="134">
        <v>1.3797857849999999</v>
      </c>
      <c r="G263" s="135">
        <v>2.4425614549999999</v>
      </c>
      <c r="H263" s="135">
        <v>3.4309521599999999</v>
      </c>
      <c r="I263" s="135">
        <v>4.438105449</v>
      </c>
      <c r="J263" s="136">
        <v>4.8143002090000007</v>
      </c>
      <c r="K263" s="135">
        <v>0</v>
      </c>
      <c r="L263" s="135">
        <v>0</v>
      </c>
      <c r="M263" s="135">
        <v>0</v>
      </c>
      <c r="N263" s="135">
        <v>0</v>
      </c>
      <c r="O263" s="135">
        <v>0</v>
      </c>
      <c r="P263" s="134">
        <v>7.1385999999999997E-4</v>
      </c>
      <c r="Q263" s="135">
        <v>3.0435459999999998E-3</v>
      </c>
      <c r="R263" s="135">
        <v>3.6341949999999998E-3</v>
      </c>
      <c r="S263" s="135">
        <v>3.0642299999999998E-3</v>
      </c>
      <c r="T263" s="136">
        <v>2.9084530000000005E-3</v>
      </c>
      <c r="U263" s="135">
        <v>7.1599535999999991E-2</v>
      </c>
      <c r="V263" s="135">
        <v>0.39261117400000001</v>
      </c>
      <c r="W263" s="135">
        <v>0.56725283699999995</v>
      </c>
      <c r="X263" s="135">
        <v>0.71029542600000006</v>
      </c>
      <c r="Y263" s="136">
        <v>0.82655273499999993</v>
      </c>
    </row>
    <row r="264" spans="1:25">
      <c r="A264" s="125" t="s">
        <v>48</v>
      </c>
      <c r="B264" t="s">
        <v>75</v>
      </c>
      <c r="C264" s="186" t="s">
        <v>119</v>
      </c>
      <c r="D264" t="s">
        <v>183</v>
      </c>
      <c r="E264" t="s">
        <v>376</v>
      </c>
      <c r="F264" s="134">
        <v>1.1750783839999999</v>
      </c>
      <c r="G264" s="135">
        <v>2.0942805529999999</v>
      </c>
      <c r="H264" s="135">
        <v>3.0015714519999999</v>
      </c>
      <c r="I264" s="135">
        <v>3.9383928750000003</v>
      </c>
      <c r="J264" s="136">
        <v>4.2237851500000003</v>
      </c>
      <c r="K264" s="135">
        <v>0</v>
      </c>
      <c r="L264" s="135">
        <v>0</v>
      </c>
      <c r="M264" s="135">
        <v>0</v>
      </c>
      <c r="N264" s="135">
        <v>0</v>
      </c>
      <c r="O264" s="135">
        <v>0</v>
      </c>
      <c r="P264" s="134">
        <v>1.0359849999999999E-3</v>
      </c>
      <c r="Q264" s="135">
        <v>4.4817649999999995E-3</v>
      </c>
      <c r="R264" s="135">
        <v>5.378089E-3</v>
      </c>
      <c r="S264" s="135">
        <v>4.5687140000000006E-3</v>
      </c>
      <c r="T264" s="136">
        <v>4.3590349999999998E-3</v>
      </c>
      <c r="U264" s="135">
        <v>8.5524610000000001E-2</v>
      </c>
      <c r="V264" s="135">
        <v>0.49958946500000001</v>
      </c>
      <c r="W264" s="135">
        <v>0.73947170500000003</v>
      </c>
      <c r="X264" s="135">
        <v>0.93662411699999992</v>
      </c>
      <c r="Y264" s="136">
        <v>1.0951294789999999</v>
      </c>
    </row>
    <row r="265" spans="1:25">
      <c r="A265" s="125" t="s">
        <v>48</v>
      </c>
      <c r="B265" t="s">
        <v>75</v>
      </c>
      <c r="C265" s="186" t="s">
        <v>119</v>
      </c>
      <c r="D265" t="s">
        <v>185</v>
      </c>
      <c r="E265" t="s">
        <v>376</v>
      </c>
      <c r="F265" s="134">
        <v>2.8297090489999999</v>
      </c>
      <c r="G265" s="135">
        <v>6.0171433499999996</v>
      </c>
      <c r="H265" s="135">
        <v>9.9090732169999995</v>
      </c>
      <c r="I265" s="135">
        <v>15.289208130000004</v>
      </c>
      <c r="J265" s="136">
        <v>18.532787548999998</v>
      </c>
      <c r="K265" s="135">
        <v>0</v>
      </c>
      <c r="L265" s="135">
        <v>0</v>
      </c>
      <c r="M265" s="135">
        <v>0</v>
      </c>
      <c r="N265" s="135">
        <v>0</v>
      </c>
      <c r="O265" s="135">
        <v>0</v>
      </c>
      <c r="P265" s="134">
        <v>1.334991E-3</v>
      </c>
      <c r="Q265" s="135">
        <v>6.338308E-3</v>
      </c>
      <c r="R265" s="135">
        <v>7.7896479999999997E-3</v>
      </c>
      <c r="S265" s="135">
        <v>6.7481959999999997E-3</v>
      </c>
      <c r="T265" s="136">
        <v>6.4612089999999999E-3</v>
      </c>
      <c r="U265" s="135">
        <v>8.7662575999999992E-2</v>
      </c>
      <c r="V265" s="135">
        <v>0.48627072199999999</v>
      </c>
      <c r="W265" s="135">
        <v>0.70576547000000001</v>
      </c>
      <c r="X265" s="135">
        <v>0.88570217800000006</v>
      </c>
      <c r="Y265" s="136">
        <v>1.031567728</v>
      </c>
    </row>
    <row r="266" spans="1:25">
      <c r="A266" s="125" t="s">
        <v>48</v>
      </c>
      <c r="B266" t="s">
        <v>75</v>
      </c>
      <c r="C266" s="186" t="s">
        <v>119</v>
      </c>
      <c r="D266" t="s">
        <v>187</v>
      </c>
      <c r="E266" t="s">
        <v>376</v>
      </c>
      <c r="F266" s="134">
        <v>3.5707626340000003</v>
      </c>
      <c r="G266" s="135">
        <v>9.1697210109999983</v>
      </c>
      <c r="H266" s="135">
        <v>18.123664918999999</v>
      </c>
      <c r="I266" s="135">
        <v>32.207235354000005</v>
      </c>
      <c r="J266" s="136">
        <v>42.916359953000004</v>
      </c>
      <c r="K266" s="135">
        <v>0</v>
      </c>
      <c r="L266" s="135">
        <v>0</v>
      </c>
      <c r="M266" s="135">
        <v>0</v>
      </c>
      <c r="N266" s="135">
        <v>0</v>
      </c>
      <c r="O266" s="135">
        <v>0</v>
      </c>
      <c r="P266" s="134">
        <v>9.5141799999999999E-4</v>
      </c>
      <c r="Q266" s="135">
        <v>3.6168859999999997E-3</v>
      </c>
      <c r="R266" s="135">
        <v>4.2136889999999996E-3</v>
      </c>
      <c r="S266" s="135">
        <v>3.4925739999999996E-3</v>
      </c>
      <c r="T266" s="136">
        <v>3.331044E-3</v>
      </c>
      <c r="U266" s="135">
        <v>0.14000711699999999</v>
      </c>
      <c r="V266" s="135">
        <v>0.88919042500000001</v>
      </c>
      <c r="W266" s="135">
        <v>1.347505291</v>
      </c>
      <c r="X266" s="135">
        <v>1.7189681379999999</v>
      </c>
      <c r="Y266" s="136">
        <v>2.0097596470000001</v>
      </c>
    </row>
    <row r="267" spans="1:25">
      <c r="A267" s="125" t="s">
        <v>48</v>
      </c>
      <c r="B267" t="s">
        <v>75</v>
      </c>
      <c r="C267" s="186" t="s">
        <v>119</v>
      </c>
      <c r="D267" t="s">
        <v>189</v>
      </c>
      <c r="E267" t="s">
        <v>376</v>
      </c>
      <c r="F267" s="134">
        <v>3.1575671E-2</v>
      </c>
      <c r="G267" s="135">
        <v>5.3662105000000002E-2</v>
      </c>
      <c r="H267" s="135">
        <v>6.9503907000000004E-2</v>
      </c>
      <c r="I267" s="135">
        <v>8.07657086E-2</v>
      </c>
      <c r="J267" s="136">
        <v>8.8108545099999991E-2</v>
      </c>
      <c r="K267" s="135">
        <v>0</v>
      </c>
      <c r="L267" s="135">
        <v>0</v>
      </c>
      <c r="M267" s="135">
        <v>0</v>
      </c>
      <c r="N267" s="135">
        <v>0</v>
      </c>
      <c r="O267" s="135">
        <v>0</v>
      </c>
      <c r="P267" s="134">
        <v>2.9300000000000001E-5</v>
      </c>
      <c r="Q267" s="135">
        <v>9.4025999999999997E-5</v>
      </c>
      <c r="R267" s="135">
        <v>1.0764900000000001E-4</v>
      </c>
      <c r="S267" s="135">
        <v>8.6919999999999988E-5</v>
      </c>
      <c r="T267" s="136">
        <v>8.4334999999999998E-5</v>
      </c>
      <c r="U267" s="135">
        <v>2.2255496E-2</v>
      </c>
      <c r="V267" s="135">
        <v>0.14893347400000001</v>
      </c>
      <c r="W267" s="135">
        <v>0.229617451</v>
      </c>
      <c r="X267" s="135">
        <v>0.29543002800000001</v>
      </c>
      <c r="Y267" s="136">
        <v>0.34701746700000002</v>
      </c>
    </row>
    <row r="268" spans="1:25">
      <c r="A268" s="125" t="s">
        <v>48</v>
      </c>
      <c r="B268" t="s">
        <v>75</v>
      </c>
      <c r="C268" s="186" t="s">
        <v>119</v>
      </c>
      <c r="D268" t="s">
        <v>191</v>
      </c>
      <c r="E268" t="s">
        <v>376</v>
      </c>
      <c r="F268" s="134">
        <v>0.21431700400000001</v>
      </c>
      <c r="G268" s="135">
        <v>0.36703122099999996</v>
      </c>
      <c r="H268" s="135">
        <v>0.48052470199999997</v>
      </c>
      <c r="I268" s="135">
        <v>0.567992359</v>
      </c>
      <c r="J268" s="136">
        <v>0.62252852999999997</v>
      </c>
      <c r="K268" s="135">
        <v>0</v>
      </c>
      <c r="L268" s="135">
        <v>0</v>
      </c>
      <c r="M268" s="135">
        <v>0</v>
      </c>
      <c r="N268" s="135">
        <v>0</v>
      </c>
      <c r="O268" s="135">
        <v>0</v>
      </c>
      <c r="P268" s="134">
        <v>6.6530000000000002E-5</v>
      </c>
      <c r="Q268" s="135">
        <v>2.3863500000000001E-4</v>
      </c>
      <c r="R268" s="135">
        <v>2.8245000000000001E-4</v>
      </c>
      <c r="S268" s="135">
        <v>2.2821000000000004E-4</v>
      </c>
      <c r="T268" s="136">
        <v>2.1481500000000001E-4</v>
      </c>
      <c r="U268" s="135">
        <v>3.7173405999999999E-2</v>
      </c>
      <c r="V268" s="135">
        <v>0.24859055799999999</v>
      </c>
      <c r="W268" s="135">
        <v>0.38337975699999999</v>
      </c>
      <c r="X268" s="135">
        <v>0.49331577799999998</v>
      </c>
      <c r="Y268" s="136">
        <v>0.57972207799999997</v>
      </c>
    </row>
    <row r="269" spans="1:25">
      <c r="A269" s="125" t="s">
        <v>48</v>
      </c>
      <c r="B269" t="s">
        <v>75</v>
      </c>
      <c r="C269" s="186" t="s">
        <v>361</v>
      </c>
      <c r="D269" t="s">
        <v>359</v>
      </c>
      <c r="E269" t="s">
        <v>376</v>
      </c>
      <c r="F269" s="134">
        <v>1.5210723359999998</v>
      </c>
      <c r="G269" s="135">
        <v>2.4301588360000004</v>
      </c>
      <c r="H269" s="135">
        <v>3.3033518160000002</v>
      </c>
      <c r="I269" s="135">
        <v>4.0928211120000002</v>
      </c>
      <c r="J269" s="136">
        <v>4.9127530150000007</v>
      </c>
      <c r="K269" s="135">
        <v>0</v>
      </c>
      <c r="L269" s="135">
        <v>0</v>
      </c>
      <c r="M269" s="135">
        <v>0</v>
      </c>
      <c r="N269" s="135">
        <v>0</v>
      </c>
      <c r="O269" s="135">
        <v>0</v>
      </c>
      <c r="P269" s="134">
        <v>2.2639900000000001E-4</v>
      </c>
      <c r="Q269" s="135">
        <v>3.71147E-4</v>
      </c>
      <c r="R269" s="135">
        <v>3.71147E-4</v>
      </c>
      <c r="S269" s="135">
        <v>4.5637299999999999E-4</v>
      </c>
      <c r="T269" s="136">
        <v>5.1041499999999996E-4</v>
      </c>
      <c r="U269" s="135">
        <v>2.0541729000000002E-2</v>
      </c>
      <c r="V269" s="135">
        <v>0.111294272</v>
      </c>
      <c r="W269" s="135">
        <v>0.160334004</v>
      </c>
      <c r="X269" s="135">
        <v>0.20062708800000001</v>
      </c>
      <c r="Y269" s="136">
        <v>0.23357583700000001</v>
      </c>
    </row>
    <row r="270" spans="1:25">
      <c r="A270" s="125" t="s">
        <v>48</v>
      </c>
      <c r="B270" t="s">
        <v>75</v>
      </c>
      <c r="C270" s="186" t="s">
        <v>236</v>
      </c>
      <c r="D270" t="s">
        <v>234</v>
      </c>
      <c r="E270" t="s">
        <v>376</v>
      </c>
      <c r="F270" s="134">
        <v>1.7977015520000001</v>
      </c>
      <c r="G270" s="135">
        <v>4.1511468879999986</v>
      </c>
      <c r="H270" s="135">
        <v>8.2079832350000004</v>
      </c>
      <c r="I270" s="135">
        <v>15.068574709999998</v>
      </c>
      <c r="J270" s="136">
        <v>20.689561563000002</v>
      </c>
      <c r="K270" s="135">
        <v>0</v>
      </c>
      <c r="L270" s="135">
        <v>0</v>
      </c>
      <c r="M270" s="135">
        <v>0</v>
      </c>
      <c r="N270" s="135">
        <v>0</v>
      </c>
      <c r="O270" s="135">
        <v>2.3239999999999998E-5</v>
      </c>
      <c r="P270" s="134">
        <v>0</v>
      </c>
      <c r="Q270" s="135">
        <v>0</v>
      </c>
      <c r="R270" s="135">
        <v>0</v>
      </c>
      <c r="S270" s="135">
        <v>0</v>
      </c>
      <c r="T270" s="136">
        <v>0</v>
      </c>
      <c r="U270" s="135">
        <v>3.5871690000000003E-3</v>
      </c>
      <c r="V270" s="135">
        <v>9.4022369999999991E-3</v>
      </c>
      <c r="W270" s="135">
        <v>8.3943420000000008E-3</v>
      </c>
      <c r="X270" s="135">
        <v>8.019778E-3</v>
      </c>
      <c r="Y270" s="136">
        <v>8.6778419999999998E-3</v>
      </c>
    </row>
    <row r="271" spans="1:25">
      <c r="A271" s="125" t="s">
        <v>48</v>
      </c>
      <c r="B271" t="s">
        <v>75</v>
      </c>
      <c r="C271" s="186" t="s">
        <v>236</v>
      </c>
      <c r="D271" t="s">
        <v>237</v>
      </c>
      <c r="E271" t="s">
        <v>376</v>
      </c>
      <c r="F271" s="134">
        <v>2.041102559</v>
      </c>
      <c r="G271" s="135">
        <v>3.7621777020000007</v>
      </c>
      <c r="H271" s="135">
        <v>5.5744548860000007</v>
      </c>
      <c r="I271" s="135">
        <v>8.009750480000001</v>
      </c>
      <c r="J271" s="136">
        <v>9.6634289259999999</v>
      </c>
      <c r="K271" s="135">
        <v>0</v>
      </c>
      <c r="L271" s="135">
        <v>0</v>
      </c>
      <c r="M271" s="135">
        <v>0</v>
      </c>
      <c r="N271" s="135">
        <v>0</v>
      </c>
      <c r="O271" s="135">
        <v>2.1880000000000001E-5</v>
      </c>
      <c r="P271" s="134">
        <v>0</v>
      </c>
      <c r="Q271" s="135">
        <v>0</v>
      </c>
      <c r="R271" s="135">
        <v>0</v>
      </c>
      <c r="S271" s="135">
        <v>0</v>
      </c>
      <c r="T271" s="136">
        <v>0</v>
      </c>
      <c r="U271" s="135">
        <v>8.1618879999999991E-3</v>
      </c>
      <c r="V271" s="135">
        <v>1.8359214999999998E-2</v>
      </c>
      <c r="W271" s="135">
        <v>1.3173541E-2</v>
      </c>
      <c r="X271" s="135">
        <v>1.0083298000000001E-2</v>
      </c>
      <c r="Y271" s="136">
        <v>1.0042855E-2</v>
      </c>
    </row>
    <row r="272" spans="1:25">
      <c r="A272" s="125" t="s">
        <v>48</v>
      </c>
      <c r="B272" t="s">
        <v>75</v>
      </c>
      <c r="C272" s="186" t="s">
        <v>236</v>
      </c>
      <c r="D272" t="s">
        <v>239</v>
      </c>
      <c r="E272" t="s">
        <v>376</v>
      </c>
      <c r="F272" s="134">
        <v>1.3741055679999998</v>
      </c>
      <c r="G272" s="135">
        <v>2.062455726</v>
      </c>
      <c r="H272" s="135">
        <v>2.4204672650000001</v>
      </c>
      <c r="I272" s="135">
        <v>2.8830118140000001</v>
      </c>
      <c r="J272" s="136">
        <v>3.2974597849999996</v>
      </c>
      <c r="K272" s="135">
        <v>0</v>
      </c>
      <c r="L272" s="135">
        <v>0</v>
      </c>
      <c r="M272" s="135">
        <v>0</v>
      </c>
      <c r="N272" s="135">
        <v>0</v>
      </c>
      <c r="O272" s="135">
        <v>2.9459999999999999E-5</v>
      </c>
      <c r="P272" s="134">
        <v>0</v>
      </c>
      <c r="Q272" s="135">
        <v>0</v>
      </c>
      <c r="R272" s="135">
        <v>0</v>
      </c>
      <c r="S272" s="135">
        <v>0</v>
      </c>
      <c r="T272" s="136">
        <v>0</v>
      </c>
      <c r="U272" s="135">
        <v>6.6032640000000002E-3</v>
      </c>
      <c r="V272" s="135">
        <v>1.4893441E-2</v>
      </c>
      <c r="W272" s="135">
        <v>1.0736853999999999E-2</v>
      </c>
      <c r="X272" s="135">
        <v>8.2672020000000013E-3</v>
      </c>
      <c r="Y272" s="136">
        <v>8.2558370000000002E-3</v>
      </c>
    </row>
    <row r="273" spans="1:25">
      <c r="A273" s="125" t="s">
        <v>48</v>
      </c>
      <c r="B273" t="s">
        <v>75</v>
      </c>
      <c r="C273" s="186" t="s">
        <v>243</v>
      </c>
      <c r="D273" t="s">
        <v>241</v>
      </c>
      <c r="E273" t="s">
        <v>376</v>
      </c>
      <c r="F273" s="134">
        <v>1.7744008800000002</v>
      </c>
      <c r="G273" s="135">
        <v>2.9390877400000002</v>
      </c>
      <c r="H273" s="135">
        <v>3.7635031559999996</v>
      </c>
      <c r="I273" s="135">
        <v>4.4218276740000002</v>
      </c>
      <c r="J273" s="136">
        <v>4.8395017600000001</v>
      </c>
      <c r="K273" s="135">
        <v>0</v>
      </c>
      <c r="L273" s="135">
        <v>0</v>
      </c>
      <c r="M273" s="135">
        <v>2.6068400000000001E-4</v>
      </c>
      <c r="N273" s="135">
        <v>2.6068400000000001E-4</v>
      </c>
      <c r="O273" s="135">
        <v>2.6068400000000001E-4</v>
      </c>
      <c r="P273" s="134">
        <v>0</v>
      </c>
      <c r="Q273" s="135">
        <v>6.2699999999999993E-5</v>
      </c>
      <c r="R273" s="135">
        <v>2.0510800000000002E-4</v>
      </c>
      <c r="S273" s="135">
        <v>3.1501000000000001E-4</v>
      </c>
      <c r="T273" s="136">
        <v>4.6068499999999996E-4</v>
      </c>
      <c r="U273" s="135">
        <v>2.3644536000000001E-2</v>
      </c>
      <c r="V273" s="135">
        <v>9.0266842999999999E-2</v>
      </c>
      <c r="W273" s="135">
        <v>0.110617865</v>
      </c>
      <c r="X273" s="135">
        <v>0.129051576</v>
      </c>
      <c r="Y273" s="136">
        <v>0.14776346100000001</v>
      </c>
    </row>
    <row r="274" spans="1:25">
      <c r="A274" s="125" t="s">
        <v>48</v>
      </c>
      <c r="B274" t="s">
        <v>75</v>
      </c>
      <c r="C274" s="186" t="s">
        <v>123</v>
      </c>
      <c r="D274" t="s">
        <v>244</v>
      </c>
      <c r="E274" t="s">
        <v>376</v>
      </c>
      <c r="F274" s="134">
        <v>7.039939704</v>
      </c>
      <c r="G274" s="135">
        <v>11.835469071</v>
      </c>
      <c r="H274" s="135">
        <v>16.998793423999999</v>
      </c>
      <c r="I274" s="135">
        <v>23.695216686000002</v>
      </c>
      <c r="J274" s="136">
        <v>28.871358373</v>
      </c>
      <c r="K274" s="135">
        <v>0</v>
      </c>
      <c r="L274" s="135">
        <v>0</v>
      </c>
      <c r="M274" s="135">
        <v>0</v>
      </c>
      <c r="N274" s="135">
        <v>0</v>
      </c>
      <c r="O274" s="135">
        <v>0</v>
      </c>
      <c r="P274" s="134">
        <v>3.9843980000000001E-3</v>
      </c>
      <c r="Q274" s="135">
        <v>5.2957750000000008E-3</v>
      </c>
      <c r="R274" s="135">
        <v>6.5282669999999991E-3</v>
      </c>
      <c r="S274" s="135">
        <v>5.5440309999999996E-3</v>
      </c>
      <c r="T274" s="136">
        <v>6.5467629999999997E-3</v>
      </c>
      <c r="U274" s="135">
        <v>0.15884135499999999</v>
      </c>
      <c r="V274" s="135">
        <v>0.95740310799999995</v>
      </c>
      <c r="W274" s="135">
        <v>1.428004192</v>
      </c>
      <c r="X274" s="135">
        <v>1.8092611709999999</v>
      </c>
      <c r="Y274" s="136">
        <v>2.110758932</v>
      </c>
    </row>
    <row r="275" spans="1:25">
      <c r="A275" s="125" t="s">
        <v>48</v>
      </c>
      <c r="B275" t="s">
        <v>75</v>
      </c>
      <c r="C275" s="186" t="s">
        <v>123</v>
      </c>
      <c r="D275" t="s">
        <v>246</v>
      </c>
      <c r="E275" t="s">
        <v>376</v>
      </c>
      <c r="F275" s="134">
        <v>6.5410129560000012</v>
      </c>
      <c r="G275" s="135">
        <v>11.322595177</v>
      </c>
      <c r="H275" s="135">
        <v>15.803397167</v>
      </c>
      <c r="I275" s="135">
        <v>20.996133548</v>
      </c>
      <c r="J275" s="136">
        <v>25.160937401999998</v>
      </c>
      <c r="K275" s="135">
        <v>0</v>
      </c>
      <c r="L275" s="135">
        <v>0</v>
      </c>
      <c r="M275" s="135">
        <v>0</v>
      </c>
      <c r="N275" s="135">
        <v>0</v>
      </c>
      <c r="O275" s="135">
        <v>0</v>
      </c>
      <c r="P275" s="134">
        <v>9.0387900000000001E-4</v>
      </c>
      <c r="Q275" s="135">
        <v>1.2682139999999999E-3</v>
      </c>
      <c r="R275" s="135">
        <v>2.5658439999999999E-3</v>
      </c>
      <c r="S275" s="135">
        <v>2.4158230000000001E-3</v>
      </c>
      <c r="T275" s="136">
        <v>2.9770579999999999E-3</v>
      </c>
      <c r="U275" s="135">
        <v>7.3903868999999997E-2</v>
      </c>
      <c r="V275" s="135">
        <v>0.41915760699999999</v>
      </c>
      <c r="W275" s="135">
        <v>0.61452019299999994</v>
      </c>
      <c r="X275" s="135">
        <v>0.77543120600000004</v>
      </c>
      <c r="Y275" s="136">
        <v>0.90633862399999998</v>
      </c>
    </row>
    <row r="276" spans="1:25">
      <c r="A276" s="125" t="s">
        <v>48</v>
      </c>
      <c r="B276" t="s">
        <v>75</v>
      </c>
      <c r="C276" s="186" t="s">
        <v>123</v>
      </c>
      <c r="D276" t="s">
        <v>248</v>
      </c>
      <c r="E276" t="s">
        <v>376</v>
      </c>
      <c r="F276" s="134">
        <v>3.8205721619999999</v>
      </c>
      <c r="G276" s="135">
        <v>8.8532937209999982</v>
      </c>
      <c r="H276" s="135">
        <v>17.859757620999996</v>
      </c>
      <c r="I276" s="135">
        <v>32.799124951000003</v>
      </c>
      <c r="J276" s="136">
        <v>44.850653655999992</v>
      </c>
      <c r="K276" s="135">
        <v>0</v>
      </c>
      <c r="L276" s="135">
        <v>0</v>
      </c>
      <c r="M276" s="135">
        <v>0</v>
      </c>
      <c r="N276" s="135">
        <v>0</v>
      </c>
      <c r="O276" s="135">
        <v>0</v>
      </c>
      <c r="P276" s="134">
        <v>7.6062599999999992E-4</v>
      </c>
      <c r="Q276" s="135">
        <v>1.104746E-3</v>
      </c>
      <c r="R276" s="135">
        <v>1.3676109999999999E-3</v>
      </c>
      <c r="S276" s="135">
        <v>1.157216E-3</v>
      </c>
      <c r="T276" s="136">
        <v>1.634801E-3</v>
      </c>
      <c r="U276" s="135">
        <v>7.4007319000000002E-2</v>
      </c>
      <c r="V276" s="135">
        <v>0.46045086000000002</v>
      </c>
      <c r="W276" s="135">
        <v>0.694944648</v>
      </c>
      <c r="X276" s="135">
        <v>0.88613109499999998</v>
      </c>
      <c r="Y276" s="136">
        <v>1.0378025630000001</v>
      </c>
    </row>
    <row r="277" spans="1:25">
      <c r="A277" s="125" t="s">
        <v>48</v>
      </c>
      <c r="B277" t="s">
        <v>75</v>
      </c>
      <c r="C277" s="186" t="s">
        <v>123</v>
      </c>
      <c r="D277" t="s">
        <v>250</v>
      </c>
      <c r="E277" t="s">
        <v>376</v>
      </c>
      <c r="F277" s="134">
        <v>5.8120477360000002</v>
      </c>
      <c r="G277" s="135">
        <v>9.7954279209999999</v>
      </c>
      <c r="H277" s="135">
        <v>14.970114428</v>
      </c>
      <c r="I277" s="135">
        <v>20.521330058999997</v>
      </c>
      <c r="J277" s="136">
        <v>25.077534548000003</v>
      </c>
      <c r="K277" s="135">
        <v>0</v>
      </c>
      <c r="L277" s="135">
        <v>0</v>
      </c>
      <c r="M277" s="135">
        <v>0</v>
      </c>
      <c r="N277" s="135">
        <v>0</v>
      </c>
      <c r="O277" s="135">
        <v>0</v>
      </c>
      <c r="P277" s="134">
        <v>1.8054619999999999E-3</v>
      </c>
      <c r="Q277" s="135">
        <v>2.5094309999999995E-3</v>
      </c>
      <c r="R277" s="135">
        <v>4.7798519999999994E-3</v>
      </c>
      <c r="S277" s="135">
        <v>4.444094E-3</v>
      </c>
      <c r="T277" s="136">
        <v>5.0667000000000004E-3</v>
      </c>
      <c r="U277" s="135">
        <v>8.9583472999999997E-2</v>
      </c>
      <c r="V277" s="135">
        <v>0.51592945300000004</v>
      </c>
      <c r="W277" s="135">
        <v>0.75869318299999999</v>
      </c>
      <c r="X277" s="135">
        <v>0.95653976099999993</v>
      </c>
      <c r="Y277" s="136">
        <v>1.1151586229999999</v>
      </c>
    </row>
    <row r="278" spans="1:25">
      <c r="A278" s="125" t="s">
        <v>48</v>
      </c>
      <c r="B278" t="s">
        <v>75</v>
      </c>
      <c r="C278" s="186" t="s">
        <v>123</v>
      </c>
      <c r="D278" t="s">
        <v>252</v>
      </c>
      <c r="E278" t="s">
        <v>376</v>
      </c>
      <c r="F278" s="134">
        <v>4.6071482100000001</v>
      </c>
      <c r="G278" s="135">
        <v>7.2893612490000015</v>
      </c>
      <c r="H278" s="135">
        <v>9.7551359290000015</v>
      </c>
      <c r="I278" s="135">
        <v>12.667503462999997</v>
      </c>
      <c r="J278" s="136">
        <v>14.805580862999999</v>
      </c>
      <c r="K278" s="135">
        <v>0</v>
      </c>
      <c r="L278" s="135">
        <v>0</v>
      </c>
      <c r="M278" s="135">
        <v>0</v>
      </c>
      <c r="N278" s="135">
        <v>0</v>
      </c>
      <c r="O278" s="135">
        <v>0</v>
      </c>
      <c r="P278" s="134">
        <v>1.6262709999999999E-3</v>
      </c>
      <c r="Q278" s="135">
        <v>2.2056799999999998E-3</v>
      </c>
      <c r="R278" s="135">
        <v>3.5437489999999997E-3</v>
      </c>
      <c r="S278" s="135">
        <v>3.1943969999999999E-3</v>
      </c>
      <c r="T278" s="136">
        <v>3.7237220000000005E-3</v>
      </c>
      <c r="U278" s="135">
        <v>0.15472562500000001</v>
      </c>
      <c r="V278" s="135">
        <v>0.97245006200000006</v>
      </c>
      <c r="W278" s="135">
        <v>1.4689079899999999</v>
      </c>
      <c r="X278" s="135">
        <v>1.8695587919999999</v>
      </c>
      <c r="Y278" s="136">
        <v>2.183286861</v>
      </c>
    </row>
    <row r="279" spans="1:25">
      <c r="A279" s="125" t="s">
        <v>48</v>
      </c>
      <c r="B279" t="s">
        <v>75</v>
      </c>
      <c r="C279" s="186" t="s">
        <v>259</v>
      </c>
      <c r="D279" t="s">
        <v>257</v>
      </c>
      <c r="E279" t="s">
        <v>376</v>
      </c>
      <c r="F279" s="134">
        <v>1.3809233050000003</v>
      </c>
      <c r="G279" s="135">
        <v>3.4401528860000004</v>
      </c>
      <c r="H279" s="135">
        <v>6.720147697999999</v>
      </c>
      <c r="I279" s="135">
        <v>10.436281710000001</v>
      </c>
      <c r="J279" s="136">
        <v>13.874468263000001</v>
      </c>
      <c r="K279" s="135">
        <v>0</v>
      </c>
      <c r="L279" s="135">
        <v>0</v>
      </c>
      <c r="M279" s="135">
        <v>0</v>
      </c>
      <c r="N279" s="135">
        <v>0</v>
      </c>
      <c r="O279" s="135">
        <v>0</v>
      </c>
      <c r="P279" s="134">
        <v>0</v>
      </c>
      <c r="Q279" s="135">
        <v>0</v>
      </c>
      <c r="R279" s="135">
        <v>0</v>
      </c>
      <c r="S279" s="135">
        <v>0</v>
      </c>
      <c r="T279" s="136">
        <v>0</v>
      </c>
      <c r="U279" s="135">
        <v>3.9400609999999996E-2</v>
      </c>
      <c r="V279" s="135">
        <v>0.23118923600000002</v>
      </c>
      <c r="W279" s="135">
        <v>0.34215368499999999</v>
      </c>
      <c r="X279" s="135">
        <v>0.43252480400000004</v>
      </c>
      <c r="Y279" s="136">
        <v>0.50472011900000002</v>
      </c>
    </row>
    <row r="280" spans="1:25">
      <c r="A280" s="125" t="s">
        <v>48</v>
      </c>
      <c r="B280" t="s">
        <v>75</v>
      </c>
      <c r="C280" s="186" t="s">
        <v>261</v>
      </c>
      <c r="D280" t="s">
        <v>260</v>
      </c>
      <c r="E280" t="s">
        <v>376</v>
      </c>
      <c r="F280" s="134">
        <v>0.35242740900000002</v>
      </c>
      <c r="G280" s="135">
        <v>0.53218695299999996</v>
      </c>
      <c r="H280" s="135">
        <v>0.66867516199999999</v>
      </c>
      <c r="I280" s="135">
        <v>1.1079472029999999</v>
      </c>
      <c r="J280" s="136">
        <v>1.2393069849999998</v>
      </c>
      <c r="K280" s="135">
        <v>0</v>
      </c>
      <c r="L280" s="135">
        <v>0</v>
      </c>
      <c r="M280" s="135">
        <v>0</v>
      </c>
      <c r="N280" s="135">
        <v>0</v>
      </c>
      <c r="O280" s="135">
        <v>0</v>
      </c>
      <c r="P280" s="134">
        <v>0</v>
      </c>
      <c r="Q280" s="135">
        <v>0</v>
      </c>
      <c r="R280" s="135">
        <v>0</v>
      </c>
      <c r="S280" s="135">
        <v>0</v>
      </c>
      <c r="T280" s="136">
        <v>0</v>
      </c>
      <c r="U280" s="135">
        <v>1.0093375E-2</v>
      </c>
      <c r="V280" s="135">
        <v>2.3502969000000002E-2</v>
      </c>
      <c r="W280" s="135">
        <v>1.7852323999999999E-2</v>
      </c>
      <c r="X280" s="135">
        <v>1.4620760999999999E-2</v>
      </c>
      <c r="Y280" s="136">
        <v>1.4976410999999999E-2</v>
      </c>
    </row>
    <row r="281" spans="1:25">
      <c r="A281" s="125" t="s">
        <v>48</v>
      </c>
      <c r="B281" t="s">
        <v>75</v>
      </c>
      <c r="C281" s="186" t="s">
        <v>256</v>
      </c>
      <c r="D281" t="s">
        <v>254</v>
      </c>
      <c r="E281" t="s">
        <v>376</v>
      </c>
      <c r="F281" s="134">
        <v>1.3937390999999999</v>
      </c>
      <c r="G281" s="135">
        <v>2.2926858490000002</v>
      </c>
      <c r="H281" s="135">
        <v>3.1238256350000002</v>
      </c>
      <c r="I281" s="135">
        <v>3.9127593860000003</v>
      </c>
      <c r="J281" s="136">
        <v>4.4964713280000002</v>
      </c>
      <c r="K281" s="135">
        <v>0</v>
      </c>
      <c r="L281" s="135">
        <v>0</v>
      </c>
      <c r="M281" s="135">
        <v>0</v>
      </c>
      <c r="N281" s="135">
        <v>0</v>
      </c>
      <c r="O281" s="135">
        <v>0</v>
      </c>
      <c r="P281" s="134">
        <v>0</v>
      </c>
      <c r="Q281" s="135">
        <v>0</v>
      </c>
      <c r="R281" s="135">
        <v>0</v>
      </c>
      <c r="S281" s="135">
        <v>0</v>
      </c>
      <c r="T281" s="136">
        <v>0</v>
      </c>
      <c r="U281" s="135">
        <v>5.24E-5</v>
      </c>
      <c r="V281" s="135">
        <v>3.50293E-4</v>
      </c>
      <c r="W281" s="135">
        <v>5.3873500000000004E-4</v>
      </c>
      <c r="X281" s="135">
        <v>6.9056100000000002E-4</v>
      </c>
      <c r="Y281" s="136">
        <v>8.0832799999999998E-4</v>
      </c>
    </row>
    <row r="282" spans="1:25">
      <c r="A282" s="125" t="s">
        <v>48</v>
      </c>
      <c r="B282" t="s">
        <v>75</v>
      </c>
      <c r="C282" s="186" t="s">
        <v>263</v>
      </c>
      <c r="D282" t="s">
        <v>262</v>
      </c>
      <c r="E282" t="s">
        <v>376</v>
      </c>
      <c r="F282" s="134">
        <v>1.9774549999999999E-3</v>
      </c>
      <c r="G282" s="135">
        <v>4.0422269999999998E-3</v>
      </c>
      <c r="H282" s="135">
        <v>9.873471E-3</v>
      </c>
      <c r="I282" s="135">
        <v>3.6044510000000002E-2</v>
      </c>
      <c r="J282" s="136">
        <v>5.1377402000000003E-2</v>
      </c>
      <c r="K282" s="135">
        <v>4.1701939999999997E-5</v>
      </c>
      <c r="L282" s="135">
        <v>7.7903889999999997E-5</v>
      </c>
      <c r="M282" s="135">
        <v>1.0632428E-4</v>
      </c>
      <c r="N282" s="135">
        <v>1.0632428E-4</v>
      </c>
      <c r="O282" s="135">
        <v>6.4703059999999998E-5</v>
      </c>
      <c r="P282" s="134">
        <v>0</v>
      </c>
      <c r="Q282" s="135">
        <v>1.0776199999999999E-4</v>
      </c>
      <c r="R282" s="135">
        <v>1.2564E-4</v>
      </c>
      <c r="S282" s="135">
        <v>1.4553999999999999E-4</v>
      </c>
      <c r="T282" s="136">
        <v>1.6478599999999999E-4</v>
      </c>
      <c r="U282" s="135">
        <v>3.29E-5</v>
      </c>
      <c r="V282" s="135">
        <v>2.1997999999999999E-4</v>
      </c>
      <c r="W282" s="135">
        <v>3.3831900000000001E-4</v>
      </c>
      <c r="X282" s="135">
        <v>4.33664E-4</v>
      </c>
      <c r="Y282" s="136">
        <v>5.0761999999999997E-4</v>
      </c>
    </row>
    <row r="283" spans="1:25">
      <c r="A283" s="125" t="s">
        <v>48</v>
      </c>
      <c r="B283" t="s">
        <v>75</v>
      </c>
      <c r="C283" s="186" t="s">
        <v>125</v>
      </c>
      <c r="D283" t="s">
        <v>264</v>
      </c>
      <c r="E283" t="s">
        <v>376</v>
      </c>
      <c r="F283" s="134">
        <v>1.3820766949999999</v>
      </c>
      <c r="G283" s="135">
        <v>1.5144833800000002</v>
      </c>
      <c r="H283" s="135">
        <v>1.7716022069999999</v>
      </c>
      <c r="I283" s="135">
        <v>2.2568960440000003</v>
      </c>
      <c r="J283" s="136">
        <v>2.5635247000000003</v>
      </c>
      <c r="K283" s="135">
        <v>0</v>
      </c>
      <c r="L283" s="135">
        <v>0</v>
      </c>
      <c r="M283" s="135">
        <v>7.4799999999999995E-6</v>
      </c>
      <c r="N283" s="135">
        <v>2.1329999999999997E-5</v>
      </c>
      <c r="O283" s="135">
        <v>2.9189999999999997E-5</v>
      </c>
      <c r="P283" s="134">
        <v>0</v>
      </c>
      <c r="Q283" s="135">
        <v>7.9000000000000006E-6</v>
      </c>
      <c r="R283" s="135">
        <v>6.7630000000000001E-5</v>
      </c>
      <c r="S283" s="135">
        <v>6.3864999999999999E-5</v>
      </c>
      <c r="T283" s="136">
        <v>6.0350000000000003E-5</v>
      </c>
      <c r="U283" s="135">
        <v>5.9207139999999997E-3</v>
      </c>
      <c r="V283" s="135">
        <v>1.3573271999999999E-2</v>
      </c>
      <c r="W283" s="135">
        <v>1.0055239000000001E-2</v>
      </c>
      <c r="X283" s="135">
        <v>8.002304E-3</v>
      </c>
      <c r="Y283" s="136">
        <v>8.1029970000000007E-3</v>
      </c>
    </row>
    <row r="284" spans="1:25">
      <c r="A284" s="125" t="s">
        <v>48</v>
      </c>
      <c r="B284" t="s">
        <v>75</v>
      </c>
      <c r="C284" s="186" t="s">
        <v>125</v>
      </c>
      <c r="D284" t="s">
        <v>266</v>
      </c>
      <c r="E284" t="s">
        <v>376</v>
      </c>
      <c r="F284" s="134">
        <v>2.8399941379999998</v>
      </c>
      <c r="G284" s="135">
        <v>3.4288790480000002</v>
      </c>
      <c r="H284" s="135">
        <v>4.2084146529999993</v>
      </c>
      <c r="I284" s="135">
        <v>5.3393725499999993</v>
      </c>
      <c r="J284" s="136">
        <v>6.0739812239999997</v>
      </c>
      <c r="K284" s="135">
        <v>0</v>
      </c>
      <c r="L284" s="135">
        <v>1.876E-5</v>
      </c>
      <c r="M284" s="135">
        <v>5.1929999999999999E-5</v>
      </c>
      <c r="N284" s="135">
        <v>5.5089999999999996E-5</v>
      </c>
      <c r="O284" s="135">
        <v>5.6849999999999999E-5</v>
      </c>
      <c r="P284" s="134">
        <v>0</v>
      </c>
      <c r="Q284" s="135">
        <v>2.3459999999999999E-5</v>
      </c>
      <c r="R284" s="135">
        <v>2.0330500000000001E-4</v>
      </c>
      <c r="S284" s="135">
        <v>1.9440800000000003E-4</v>
      </c>
      <c r="T284" s="136">
        <v>1.85914E-4</v>
      </c>
      <c r="U284" s="135">
        <v>8.2890470000000008E-3</v>
      </c>
      <c r="V284" s="135">
        <v>1.8630580000000001E-2</v>
      </c>
      <c r="W284" s="135">
        <v>1.3350041E-2</v>
      </c>
      <c r="X284" s="135">
        <v>1.0200657E-2</v>
      </c>
      <c r="Y284" s="136">
        <v>1.0152049999999999E-2</v>
      </c>
    </row>
    <row r="285" spans="1:25">
      <c r="A285" s="125" t="s">
        <v>48</v>
      </c>
      <c r="B285" t="s">
        <v>75</v>
      </c>
      <c r="C285" s="186" t="s">
        <v>125</v>
      </c>
      <c r="D285" t="s">
        <v>268</v>
      </c>
      <c r="E285" t="s">
        <v>376</v>
      </c>
      <c r="F285" s="134">
        <v>14.105279399</v>
      </c>
      <c r="G285" s="135">
        <v>31.643705906000001</v>
      </c>
      <c r="H285" s="135">
        <v>62.601259875000025</v>
      </c>
      <c r="I285" s="135">
        <v>110.79472836299999</v>
      </c>
      <c r="J285" s="136">
        <v>148.313268056</v>
      </c>
      <c r="K285" s="135">
        <v>0</v>
      </c>
      <c r="L285" s="135">
        <v>5.7396500000000007E-4</v>
      </c>
      <c r="M285" s="135">
        <v>1.088236E-3</v>
      </c>
      <c r="N285" s="135">
        <v>1.072635E-3</v>
      </c>
      <c r="O285" s="135">
        <v>1.0637839999999999E-3</v>
      </c>
      <c r="P285" s="134">
        <v>0</v>
      </c>
      <c r="Q285" s="135">
        <v>9.1399999999999999E-5</v>
      </c>
      <c r="R285" s="135">
        <v>1.1841450000000002E-3</v>
      </c>
      <c r="S285" s="135">
        <v>1.1373619999999998E-3</v>
      </c>
      <c r="T285" s="136">
        <v>1.0923880000000001E-3</v>
      </c>
      <c r="U285" s="135">
        <v>3.6827783000000003E-2</v>
      </c>
      <c r="V285" s="135">
        <v>0.19377926099999998</v>
      </c>
      <c r="W285" s="135">
        <v>0.27609709399999999</v>
      </c>
      <c r="X285" s="135">
        <v>0.34389092399999999</v>
      </c>
      <c r="Y285" s="136">
        <v>0.39979731400000001</v>
      </c>
    </row>
    <row r="286" spans="1:25">
      <c r="A286" s="125" t="s">
        <v>48</v>
      </c>
      <c r="B286" t="s">
        <v>75</v>
      </c>
      <c r="C286" s="186" t="s">
        <v>125</v>
      </c>
      <c r="D286" t="s">
        <v>270</v>
      </c>
      <c r="E286" t="s">
        <v>376</v>
      </c>
      <c r="F286" s="134">
        <v>6.4575872889999992</v>
      </c>
      <c r="G286" s="135">
        <v>8.2854569720000004</v>
      </c>
      <c r="H286" s="135">
        <v>11.684056150000002</v>
      </c>
      <c r="I286" s="135">
        <v>17.347216060000001</v>
      </c>
      <c r="J286" s="136">
        <v>21.368124913999996</v>
      </c>
      <c r="K286" s="135">
        <v>0</v>
      </c>
      <c r="L286" s="135">
        <v>2.3560000000000001E-5</v>
      </c>
      <c r="M286" s="135">
        <v>6.224E-5</v>
      </c>
      <c r="N286" s="135">
        <v>6.0829999999999999E-5</v>
      </c>
      <c r="O286" s="135">
        <v>6.0019999999999998E-5</v>
      </c>
      <c r="P286" s="134">
        <v>0</v>
      </c>
      <c r="Q286" s="135">
        <v>2.7144999999999998E-5</v>
      </c>
      <c r="R286" s="135">
        <v>2.4150800000000001E-4</v>
      </c>
      <c r="S286" s="135">
        <v>2.3043700000000003E-4</v>
      </c>
      <c r="T286" s="136">
        <v>2.2002200000000003E-4</v>
      </c>
      <c r="U286" s="135">
        <v>1.1581495000000001E-2</v>
      </c>
      <c r="V286" s="135">
        <v>3.7162483999999996E-2</v>
      </c>
      <c r="W286" s="135">
        <v>4.0518204000000002E-2</v>
      </c>
      <c r="X286" s="135">
        <v>4.4535443999999993E-2</v>
      </c>
      <c r="Y286" s="136">
        <v>5.0363822000000003E-2</v>
      </c>
    </row>
    <row r="287" spans="1:25">
      <c r="A287" s="125" t="s">
        <v>48</v>
      </c>
      <c r="B287" t="s">
        <v>75</v>
      </c>
      <c r="C287" s="186" t="s">
        <v>129</v>
      </c>
      <c r="D287" t="s">
        <v>272</v>
      </c>
      <c r="E287" t="s">
        <v>376</v>
      </c>
      <c r="F287" s="134">
        <v>3.2883292909999997</v>
      </c>
      <c r="G287" s="135">
        <v>8.1341469279999998</v>
      </c>
      <c r="H287" s="135">
        <v>11.995792618999999</v>
      </c>
      <c r="I287" s="135">
        <v>15.372799810000002</v>
      </c>
      <c r="J287" s="136">
        <v>17.590093962000001</v>
      </c>
      <c r="K287" s="135">
        <v>2.4394199999999998E-4</v>
      </c>
      <c r="L287" s="135">
        <v>2.4394199999999998E-4</v>
      </c>
      <c r="M287" s="135">
        <v>2.1472E-4</v>
      </c>
      <c r="N287" s="135">
        <v>1.77973E-4</v>
      </c>
      <c r="O287" s="135">
        <v>1.63141E-4</v>
      </c>
      <c r="P287" s="134">
        <v>0</v>
      </c>
      <c r="Q287" s="135">
        <v>0</v>
      </c>
      <c r="R287" s="135">
        <v>0</v>
      </c>
      <c r="S287" s="135">
        <v>0</v>
      </c>
      <c r="T287" s="136">
        <v>0</v>
      </c>
      <c r="U287" s="135">
        <v>2.4263654000000003E-2</v>
      </c>
      <c r="V287" s="135">
        <v>8.1352914999999998E-2</v>
      </c>
      <c r="W287" s="135">
        <v>9.1633249E-2</v>
      </c>
      <c r="X287" s="135">
        <v>0.102528813</v>
      </c>
      <c r="Y287" s="136">
        <v>0.11643963800000001</v>
      </c>
    </row>
    <row r="288" spans="1:25">
      <c r="A288" s="125" t="s">
        <v>48</v>
      </c>
      <c r="B288" t="s">
        <v>75</v>
      </c>
      <c r="C288" s="186" t="s">
        <v>129</v>
      </c>
      <c r="D288" t="s">
        <v>274</v>
      </c>
      <c r="E288" t="s">
        <v>376</v>
      </c>
      <c r="F288" s="134">
        <v>2.9233384250000003</v>
      </c>
      <c r="G288" s="135">
        <v>5.7720949560000001</v>
      </c>
      <c r="H288" s="135">
        <v>9.6497961180000011</v>
      </c>
      <c r="I288" s="135">
        <v>13.972605484000001</v>
      </c>
      <c r="J288" s="136">
        <v>17.073216547999998</v>
      </c>
      <c r="K288" s="135">
        <v>3.0320500000000002E-4</v>
      </c>
      <c r="L288" s="135">
        <v>3.0320500000000002E-4</v>
      </c>
      <c r="M288" s="135">
        <v>2.80036E-4</v>
      </c>
      <c r="N288" s="135">
        <v>2.5078900000000001E-4</v>
      </c>
      <c r="O288" s="135">
        <v>2.3900899999999999E-4</v>
      </c>
      <c r="P288" s="134">
        <v>0</v>
      </c>
      <c r="Q288" s="135">
        <v>0</v>
      </c>
      <c r="R288" s="135">
        <v>0</v>
      </c>
      <c r="S288" s="135">
        <v>0</v>
      </c>
      <c r="T288" s="136">
        <v>0</v>
      </c>
      <c r="U288" s="135">
        <v>1.9531566E-2</v>
      </c>
      <c r="V288" s="135">
        <v>4.9857485E-2</v>
      </c>
      <c r="W288" s="135">
        <v>4.3134738999999998E-2</v>
      </c>
      <c r="X288" s="135">
        <v>4.0187801000000002E-2</v>
      </c>
      <c r="Y288" s="136">
        <v>4.3202888999999994E-2</v>
      </c>
    </row>
    <row r="289" spans="1:25">
      <c r="A289" s="125" t="s">
        <v>48</v>
      </c>
      <c r="B289" t="s">
        <v>75</v>
      </c>
      <c r="C289" s="186" t="s">
        <v>129</v>
      </c>
      <c r="D289" t="s">
        <v>276</v>
      </c>
      <c r="E289" t="s">
        <v>376</v>
      </c>
      <c r="F289" s="134">
        <v>1.324296648</v>
      </c>
      <c r="G289" s="135">
        <v>2.413590068</v>
      </c>
      <c r="H289" s="135">
        <v>3.514782936</v>
      </c>
      <c r="I289" s="135">
        <v>4.7285828319999998</v>
      </c>
      <c r="J289" s="136">
        <v>5.5963992300000012</v>
      </c>
      <c r="K289" s="135">
        <v>0</v>
      </c>
      <c r="L289" s="135">
        <v>0</v>
      </c>
      <c r="M289" s="135">
        <v>3.3899999999999997E-5</v>
      </c>
      <c r="N289" s="135">
        <v>7.6599999999999992E-5</v>
      </c>
      <c r="O289" s="135">
        <v>9.3700000000000001E-5</v>
      </c>
      <c r="P289" s="134">
        <v>0</v>
      </c>
      <c r="Q289" s="135">
        <v>0</v>
      </c>
      <c r="R289" s="135">
        <v>0</v>
      </c>
      <c r="S289" s="135">
        <v>0</v>
      </c>
      <c r="T289" s="136">
        <v>0</v>
      </c>
      <c r="U289" s="135">
        <v>1.8942068000000003E-2</v>
      </c>
      <c r="V289" s="135">
        <v>4.9667503000000002E-2</v>
      </c>
      <c r="W289" s="135">
        <v>4.4433489999999999E-2</v>
      </c>
      <c r="X289" s="135">
        <v>4.2609647E-2</v>
      </c>
      <c r="Y289" s="136">
        <v>4.6288322E-2</v>
      </c>
    </row>
    <row r="290" spans="1:25">
      <c r="A290" s="125" t="s">
        <v>48</v>
      </c>
      <c r="B290" t="s">
        <v>75</v>
      </c>
      <c r="C290" s="186" t="s">
        <v>129</v>
      </c>
      <c r="D290" t="s">
        <v>278</v>
      </c>
      <c r="E290" t="s">
        <v>376</v>
      </c>
      <c r="F290" s="134">
        <v>2.9486896699999998</v>
      </c>
      <c r="G290" s="135">
        <v>5.9893895200000005</v>
      </c>
      <c r="H290" s="135">
        <v>10.269183726999998</v>
      </c>
      <c r="I290" s="135">
        <v>15.522489353000005</v>
      </c>
      <c r="J290" s="136">
        <v>19.464536056</v>
      </c>
      <c r="K290" s="135">
        <v>1.9920399999999997E-4</v>
      </c>
      <c r="L290" s="135">
        <v>1.9920399999999997E-4</v>
      </c>
      <c r="M290" s="135">
        <v>1.7650200000000001E-4</v>
      </c>
      <c r="N290" s="135">
        <v>1.4790700000000002E-4</v>
      </c>
      <c r="O290" s="135">
        <v>1.3640000000000001E-4</v>
      </c>
      <c r="P290" s="134">
        <v>0</v>
      </c>
      <c r="Q290" s="135">
        <v>0</v>
      </c>
      <c r="R290" s="135">
        <v>0</v>
      </c>
      <c r="S290" s="135">
        <v>0</v>
      </c>
      <c r="T290" s="136">
        <v>0</v>
      </c>
      <c r="U290" s="135">
        <v>1.5726573000000001E-2</v>
      </c>
      <c r="V290" s="135">
        <v>4.7838394999999999E-2</v>
      </c>
      <c r="W290" s="135">
        <v>4.9842855000000005E-2</v>
      </c>
      <c r="X290" s="135">
        <v>5.3301168000000003E-2</v>
      </c>
      <c r="Y290" s="136">
        <v>5.9830696000000003E-2</v>
      </c>
    </row>
    <row r="291" spans="1:25">
      <c r="A291" s="125" t="s">
        <v>48</v>
      </c>
      <c r="B291" t="s">
        <v>75</v>
      </c>
      <c r="C291" s="186" t="s">
        <v>129</v>
      </c>
      <c r="D291" t="s">
        <v>280</v>
      </c>
      <c r="E291" t="s">
        <v>376</v>
      </c>
      <c r="F291" s="134">
        <v>1.5459631849999995</v>
      </c>
      <c r="G291" s="135">
        <v>2.8674530039999997</v>
      </c>
      <c r="H291" s="135">
        <v>4.2165400259999997</v>
      </c>
      <c r="I291" s="135">
        <v>5.786700741999999</v>
      </c>
      <c r="J291" s="136">
        <v>6.8643190450000002</v>
      </c>
      <c r="K291" s="135">
        <v>0</v>
      </c>
      <c r="L291" s="135">
        <v>0</v>
      </c>
      <c r="M291" s="135">
        <v>2.459E-5</v>
      </c>
      <c r="N291" s="135">
        <v>5.5500000000000001E-5</v>
      </c>
      <c r="O291" s="135">
        <v>6.7909999999999992E-5</v>
      </c>
      <c r="P291" s="134">
        <v>0</v>
      </c>
      <c r="Q291" s="135">
        <v>0</v>
      </c>
      <c r="R291" s="135">
        <v>0</v>
      </c>
      <c r="S291" s="135">
        <v>0</v>
      </c>
      <c r="T291" s="136">
        <v>0</v>
      </c>
      <c r="U291" s="135">
        <v>1.2761112999999999E-2</v>
      </c>
      <c r="V291" s="135">
        <v>2.9153385E-2</v>
      </c>
      <c r="W291" s="135">
        <v>2.1467053999999999E-2</v>
      </c>
      <c r="X291" s="135">
        <v>1.6954779999999999E-2</v>
      </c>
      <c r="Y291" s="136">
        <v>1.7104273999999999E-2</v>
      </c>
    </row>
    <row r="292" spans="1:25">
      <c r="A292" s="125" t="s">
        <v>48</v>
      </c>
      <c r="B292" t="s">
        <v>75</v>
      </c>
      <c r="C292" s="186" t="s">
        <v>129</v>
      </c>
      <c r="D292" t="s">
        <v>282</v>
      </c>
      <c r="E292" t="s">
        <v>376</v>
      </c>
      <c r="F292" s="134">
        <v>2.7144362589999997</v>
      </c>
      <c r="G292" s="135">
        <v>6.2534965040000001</v>
      </c>
      <c r="H292" s="135">
        <v>12.437591471000001</v>
      </c>
      <c r="I292" s="135">
        <v>19.828111834000001</v>
      </c>
      <c r="J292" s="136">
        <v>25.253040789999996</v>
      </c>
      <c r="K292" s="135">
        <v>1.8996099999999999E-4</v>
      </c>
      <c r="L292" s="135">
        <v>1.8996099999999999E-4</v>
      </c>
      <c r="M292" s="135">
        <v>1.7464800000000001E-4</v>
      </c>
      <c r="N292" s="135">
        <v>1.5534199999999999E-4</v>
      </c>
      <c r="O292" s="135">
        <v>1.47572E-4</v>
      </c>
      <c r="P292" s="134">
        <v>0</v>
      </c>
      <c r="Q292" s="135">
        <v>0</v>
      </c>
      <c r="R292" s="135">
        <v>0</v>
      </c>
      <c r="S292" s="135">
        <v>0</v>
      </c>
      <c r="T292" s="136">
        <v>0</v>
      </c>
      <c r="U292" s="135">
        <v>8.9151540000000015E-3</v>
      </c>
      <c r="V292" s="135">
        <v>2.158819E-2</v>
      </c>
      <c r="W292" s="135">
        <v>1.7390906000000001E-2</v>
      </c>
      <c r="X292" s="135">
        <v>1.5154078E-2</v>
      </c>
      <c r="Y292" s="136">
        <v>1.5895439000000001E-2</v>
      </c>
    </row>
    <row r="293" spans="1:25">
      <c r="A293" s="125" t="s">
        <v>48</v>
      </c>
      <c r="B293" t="s">
        <v>75</v>
      </c>
      <c r="C293" s="186" t="s">
        <v>129</v>
      </c>
      <c r="D293" t="s">
        <v>284</v>
      </c>
      <c r="E293" t="s">
        <v>376</v>
      </c>
      <c r="F293" s="134">
        <v>2.2777565489999998</v>
      </c>
      <c r="G293" s="135">
        <v>4.7540447870000007</v>
      </c>
      <c r="H293" s="135">
        <v>8.2768460140000002</v>
      </c>
      <c r="I293" s="135">
        <v>13.443588779999999</v>
      </c>
      <c r="J293" s="136">
        <v>17.501174075000002</v>
      </c>
      <c r="K293" s="135">
        <v>0</v>
      </c>
      <c r="L293" s="135">
        <v>0</v>
      </c>
      <c r="M293" s="135">
        <v>3.1999999999999999E-5</v>
      </c>
      <c r="N293" s="135">
        <v>7.2199999999999993E-5</v>
      </c>
      <c r="O293" s="135">
        <v>8.8415E-5</v>
      </c>
      <c r="P293" s="134">
        <v>0</v>
      </c>
      <c r="Q293" s="135">
        <v>0</v>
      </c>
      <c r="R293" s="135">
        <v>0</v>
      </c>
      <c r="S293" s="135">
        <v>0</v>
      </c>
      <c r="T293" s="136">
        <v>0</v>
      </c>
      <c r="U293" s="135">
        <v>1.3692412000000001E-2</v>
      </c>
      <c r="V293" s="135">
        <v>7.4819141000000006E-2</v>
      </c>
      <c r="W293" s="135">
        <v>0.107751239</v>
      </c>
      <c r="X293" s="135">
        <v>0.134359487</v>
      </c>
      <c r="Y293" s="136">
        <v>0.155645964</v>
      </c>
    </row>
    <row r="294" spans="1:25">
      <c r="A294" s="125" t="s">
        <v>48</v>
      </c>
      <c r="B294" t="s">
        <v>75</v>
      </c>
      <c r="C294" s="186" t="s">
        <v>288</v>
      </c>
      <c r="D294" t="s">
        <v>286</v>
      </c>
      <c r="E294" t="s">
        <v>376</v>
      </c>
      <c r="F294" s="134">
        <v>4.6617384319999999</v>
      </c>
      <c r="G294" s="135">
        <v>7.8861123979999999</v>
      </c>
      <c r="H294" s="135">
        <v>11.047453204</v>
      </c>
      <c r="I294" s="135">
        <v>15.892189042000002</v>
      </c>
      <c r="J294" s="136">
        <v>19.726742188999999</v>
      </c>
      <c r="K294" s="135">
        <v>0</v>
      </c>
      <c r="L294" s="135">
        <v>0</v>
      </c>
      <c r="M294" s="135">
        <v>0</v>
      </c>
      <c r="N294" s="135">
        <v>7.4370000000000008E-5</v>
      </c>
      <c r="O294" s="135">
        <v>1.47942E-4</v>
      </c>
      <c r="P294" s="134">
        <v>0</v>
      </c>
      <c r="Q294" s="135">
        <v>5.8697199999999995E-4</v>
      </c>
      <c r="R294" s="135">
        <v>9.83259E-4</v>
      </c>
      <c r="S294" s="135">
        <v>1.2753719999999999E-3</v>
      </c>
      <c r="T294" s="136">
        <v>2.2323149999999999E-3</v>
      </c>
      <c r="U294" s="135">
        <v>8.4908709999999998E-2</v>
      </c>
      <c r="V294" s="135">
        <v>0.48625202499999998</v>
      </c>
      <c r="W294" s="135">
        <v>0.71395646099999999</v>
      </c>
      <c r="X294" s="135">
        <v>0.89984270899999996</v>
      </c>
      <c r="Y294" s="136">
        <v>1.0493008640000001</v>
      </c>
    </row>
    <row r="295" spans="1:25">
      <c r="A295" s="125" t="s">
        <v>48</v>
      </c>
      <c r="B295" t="s">
        <v>75</v>
      </c>
      <c r="C295" s="186" t="s">
        <v>288</v>
      </c>
      <c r="D295" t="s">
        <v>289</v>
      </c>
      <c r="E295" t="s">
        <v>376</v>
      </c>
      <c r="F295" s="134">
        <v>1.3766263000000001E-2</v>
      </c>
      <c r="G295" s="135">
        <v>2.2690711000000002E-2</v>
      </c>
      <c r="H295" s="135">
        <v>2.9151042000000002E-2</v>
      </c>
      <c r="I295" s="135">
        <v>3.3866586000000004E-2</v>
      </c>
      <c r="J295" s="136">
        <v>3.6257462999999997E-2</v>
      </c>
      <c r="K295" s="135">
        <v>0</v>
      </c>
      <c r="L295" s="135">
        <v>0</v>
      </c>
      <c r="M295" s="135">
        <v>0</v>
      </c>
      <c r="N295" s="135">
        <v>0</v>
      </c>
      <c r="O295" s="135">
        <v>0</v>
      </c>
      <c r="P295" s="134">
        <v>0</v>
      </c>
      <c r="Q295" s="135">
        <v>3.1700000000000001E-6</v>
      </c>
      <c r="R295" s="135">
        <v>5.1258000000000001E-6</v>
      </c>
      <c r="S295" s="135">
        <v>2.0913399999999999E-5</v>
      </c>
      <c r="T295" s="136">
        <v>3.7231999999999999E-5</v>
      </c>
      <c r="U295" s="135">
        <v>3.62349E-3</v>
      </c>
      <c r="V295" s="135">
        <v>2.4221537000000001E-2</v>
      </c>
      <c r="W295" s="135">
        <v>3.7245871E-2</v>
      </c>
      <c r="X295" s="135">
        <v>4.7733112000000001E-2</v>
      </c>
      <c r="Y295" s="136">
        <v>5.5858893E-2</v>
      </c>
    </row>
    <row r="296" spans="1:25">
      <c r="A296" s="125" t="s">
        <v>48</v>
      </c>
      <c r="B296" t="s">
        <v>75</v>
      </c>
      <c r="C296" s="186" t="s">
        <v>288</v>
      </c>
      <c r="D296" t="s">
        <v>291</v>
      </c>
      <c r="E296" t="s">
        <v>376</v>
      </c>
      <c r="F296" s="134">
        <v>8.0013540000000005E-3</v>
      </c>
      <c r="G296" s="135">
        <v>1.3272305E-2</v>
      </c>
      <c r="H296" s="135">
        <v>1.7102126000000002E-2</v>
      </c>
      <c r="I296" s="135">
        <v>2.0204130000000001E-2</v>
      </c>
      <c r="J296" s="136">
        <v>2.1837998000000001E-2</v>
      </c>
      <c r="K296" s="135">
        <v>0</v>
      </c>
      <c r="L296" s="135">
        <v>0</v>
      </c>
      <c r="M296" s="135">
        <v>0</v>
      </c>
      <c r="N296" s="135">
        <v>0</v>
      </c>
      <c r="O296" s="135">
        <v>0</v>
      </c>
      <c r="P296" s="134">
        <v>0</v>
      </c>
      <c r="Q296" s="135">
        <v>2.8950000000000002E-6</v>
      </c>
      <c r="R296" s="135">
        <v>5.1831999999999998E-6</v>
      </c>
      <c r="S296" s="135">
        <v>2.56038E-5</v>
      </c>
      <c r="T296" s="136">
        <v>4.5695999999999998E-5</v>
      </c>
      <c r="U296" s="135">
        <v>4.2601870000000003E-3</v>
      </c>
      <c r="V296" s="135">
        <v>2.8494273000000001E-2</v>
      </c>
      <c r="W296" s="135">
        <v>4.3845424000000001E-2</v>
      </c>
      <c r="X296" s="135">
        <v>5.6238512999999997E-2</v>
      </c>
      <c r="Y296" s="136">
        <v>6.5885920000000001E-2</v>
      </c>
    </row>
    <row r="297" spans="1:25">
      <c r="A297" s="125" t="s">
        <v>48</v>
      </c>
      <c r="B297" t="s">
        <v>75</v>
      </c>
      <c r="C297" s="186" t="s">
        <v>347</v>
      </c>
      <c r="D297" t="s">
        <v>345</v>
      </c>
      <c r="E297" t="s">
        <v>376</v>
      </c>
      <c r="F297" s="134">
        <v>1.4667305349999999</v>
      </c>
      <c r="G297" s="135">
        <v>2.2057765209999998</v>
      </c>
      <c r="H297" s="135">
        <v>2.5935800890000005</v>
      </c>
      <c r="I297" s="135">
        <v>3.0550685180000006</v>
      </c>
      <c r="J297" s="136">
        <v>3.2189577160000002</v>
      </c>
      <c r="K297" s="135">
        <v>0</v>
      </c>
      <c r="L297" s="135">
        <v>0</v>
      </c>
      <c r="M297" s="135">
        <v>0</v>
      </c>
      <c r="N297" s="135">
        <v>0</v>
      </c>
      <c r="O297" s="135">
        <v>0</v>
      </c>
      <c r="P297" s="134">
        <v>0</v>
      </c>
      <c r="Q297" s="135">
        <v>0</v>
      </c>
      <c r="R297" s="135">
        <v>0</v>
      </c>
      <c r="S297" s="135">
        <v>0</v>
      </c>
      <c r="T297" s="136">
        <v>0</v>
      </c>
      <c r="U297" s="135">
        <v>7.326857E-3</v>
      </c>
      <c r="V297" s="135">
        <v>2.2482771999999998E-2</v>
      </c>
      <c r="W297" s="135">
        <v>2.3588418E-2</v>
      </c>
      <c r="X297" s="135">
        <v>2.5311896E-2</v>
      </c>
      <c r="Y297" s="136">
        <v>2.8404663E-2</v>
      </c>
    </row>
    <row r="298" spans="1:25">
      <c r="A298" s="125" t="s">
        <v>48</v>
      </c>
      <c r="B298" t="s">
        <v>75</v>
      </c>
      <c r="C298" s="186" t="s">
        <v>347</v>
      </c>
      <c r="D298" t="s">
        <v>348</v>
      </c>
      <c r="E298" t="s">
        <v>376</v>
      </c>
      <c r="F298" s="134">
        <v>1.6742181989999998</v>
      </c>
      <c r="G298" s="135">
        <v>3.8076228259999998</v>
      </c>
      <c r="H298" s="135">
        <v>5.8135811390000001</v>
      </c>
      <c r="I298" s="135">
        <v>8.903855128</v>
      </c>
      <c r="J298" s="136">
        <v>12.469776180000004</v>
      </c>
      <c r="K298" s="135">
        <v>0</v>
      </c>
      <c r="L298" s="135">
        <v>0</v>
      </c>
      <c r="M298" s="135">
        <v>0</v>
      </c>
      <c r="N298" s="135">
        <v>0</v>
      </c>
      <c r="O298" s="135">
        <v>0</v>
      </c>
      <c r="P298" s="134">
        <v>0</v>
      </c>
      <c r="Q298" s="135">
        <v>0</v>
      </c>
      <c r="R298" s="135">
        <v>0</v>
      </c>
      <c r="S298" s="135">
        <v>0</v>
      </c>
      <c r="T298" s="136">
        <v>0</v>
      </c>
      <c r="U298" s="135">
        <v>2.9814380000000003E-3</v>
      </c>
      <c r="V298" s="135">
        <v>9.9575600000000007E-3</v>
      </c>
      <c r="W298" s="135">
        <v>1.1149847000000001E-2</v>
      </c>
      <c r="X298" s="135">
        <v>1.2392856000000001E-2</v>
      </c>
      <c r="Y298" s="136">
        <v>1.3987624000000001E-2</v>
      </c>
    </row>
    <row r="299" spans="1:25">
      <c r="A299" s="125" t="s">
        <v>48</v>
      </c>
      <c r="B299" t="s">
        <v>75</v>
      </c>
      <c r="C299" s="186" t="s">
        <v>347</v>
      </c>
      <c r="D299" t="s">
        <v>350</v>
      </c>
      <c r="E299" t="s">
        <v>376</v>
      </c>
      <c r="F299" s="134">
        <v>2.1861314749999998</v>
      </c>
      <c r="G299" s="135">
        <v>4.2981561420000007</v>
      </c>
      <c r="H299" s="135">
        <v>7.362478351</v>
      </c>
      <c r="I299" s="135">
        <v>12.448685575000001</v>
      </c>
      <c r="J299" s="136">
        <v>16.417136054999997</v>
      </c>
      <c r="K299" s="135">
        <v>0</v>
      </c>
      <c r="L299" s="135">
        <v>0</v>
      </c>
      <c r="M299" s="135">
        <v>0</v>
      </c>
      <c r="N299" s="135">
        <v>0</v>
      </c>
      <c r="O299" s="135">
        <v>0</v>
      </c>
      <c r="P299" s="134">
        <v>0</v>
      </c>
      <c r="Q299" s="135">
        <v>0</v>
      </c>
      <c r="R299" s="135">
        <v>0</v>
      </c>
      <c r="S299" s="135">
        <v>0</v>
      </c>
      <c r="T299" s="136">
        <v>0</v>
      </c>
      <c r="U299" s="135">
        <v>1.5480532E-2</v>
      </c>
      <c r="V299" s="135">
        <v>5.7493071999999992E-2</v>
      </c>
      <c r="W299" s="135">
        <v>6.9240884000000003E-2</v>
      </c>
      <c r="X299" s="135">
        <v>8.0039470000000001E-2</v>
      </c>
      <c r="Y299" s="136">
        <v>9.1365498000000003E-2</v>
      </c>
    </row>
    <row r="300" spans="1:25">
      <c r="A300" s="125" t="s">
        <v>48</v>
      </c>
      <c r="B300" t="s">
        <v>75</v>
      </c>
      <c r="C300" s="186" t="s">
        <v>347</v>
      </c>
      <c r="D300" t="s">
        <v>352</v>
      </c>
      <c r="E300" t="s">
        <v>376</v>
      </c>
      <c r="F300" s="134">
        <v>0.41060566999999998</v>
      </c>
      <c r="G300" s="135">
        <v>0.72210012299999993</v>
      </c>
      <c r="H300" s="135">
        <v>1.0210156210000001</v>
      </c>
      <c r="I300" s="135">
        <v>1.3367107379999998</v>
      </c>
      <c r="J300" s="136">
        <v>1.4887585410000002</v>
      </c>
      <c r="K300" s="135">
        <v>0</v>
      </c>
      <c r="L300" s="135">
        <v>0</v>
      </c>
      <c r="M300" s="135">
        <v>0</v>
      </c>
      <c r="N300" s="135">
        <v>0</v>
      </c>
      <c r="O300" s="135">
        <v>0</v>
      </c>
      <c r="P300" s="134">
        <v>0</v>
      </c>
      <c r="Q300" s="135">
        <v>0</v>
      </c>
      <c r="R300" s="135">
        <v>0</v>
      </c>
      <c r="S300" s="135">
        <v>0</v>
      </c>
      <c r="T300" s="136">
        <v>0</v>
      </c>
      <c r="U300" s="135">
        <v>7.1478849999999997E-3</v>
      </c>
      <c r="V300" s="135">
        <v>1.9376995000000001E-2</v>
      </c>
      <c r="W300" s="135">
        <v>1.8005818999999999E-2</v>
      </c>
      <c r="X300" s="135">
        <v>1.7783767999999998E-2</v>
      </c>
      <c r="Y300" s="136">
        <v>1.9492427999999999E-2</v>
      </c>
    </row>
    <row r="301" spans="1:25">
      <c r="A301" s="125" t="s">
        <v>48</v>
      </c>
      <c r="B301" t="s">
        <v>75</v>
      </c>
      <c r="C301" s="186" t="s">
        <v>131</v>
      </c>
      <c r="D301" t="s">
        <v>314</v>
      </c>
      <c r="E301" t="s">
        <v>376</v>
      </c>
      <c r="F301" s="134">
        <v>1.4388349209999998</v>
      </c>
      <c r="G301" s="135">
        <v>2.5891703549999998</v>
      </c>
      <c r="H301" s="135">
        <v>3.4215831780000001</v>
      </c>
      <c r="I301" s="135">
        <v>4.6167539929999997</v>
      </c>
      <c r="J301" s="136">
        <v>5.7111895050000001</v>
      </c>
      <c r="K301" s="135">
        <v>0</v>
      </c>
      <c r="L301" s="135">
        <v>0</v>
      </c>
      <c r="M301" s="135">
        <v>0</v>
      </c>
      <c r="N301" s="135">
        <v>0</v>
      </c>
      <c r="O301" s="135">
        <v>0</v>
      </c>
      <c r="P301" s="134">
        <v>0</v>
      </c>
      <c r="Q301" s="135">
        <v>8.9500000000000007E-5</v>
      </c>
      <c r="R301" s="135">
        <v>8.9999999999999992E-5</v>
      </c>
      <c r="S301" s="135">
        <v>9.0400000000000002E-5</v>
      </c>
      <c r="T301" s="136">
        <v>9.0699999999999996E-5</v>
      </c>
      <c r="U301" s="135">
        <v>0.29851144600000001</v>
      </c>
      <c r="V301" s="135">
        <v>1.970024963</v>
      </c>
      <c r="W301" s="135">
        <v>3.0195805249999998</v>
      </c>
      <c r="X301" s="135">
        <v>3.8661761220000002</v>
      </c>
      <c r="Y301" s="136">
        <v>4.524482152</v>
      </c>
    </row>
    <row r="302" spans="1:25">
      <c r="A302" s="125" t="s">
        <v>48</v>
      </c>
      <c r="B302" t="s">
        <v>75</v>
      </c>
      <c r="C302" s="186" t="s">
        <v>131</v>
      </c>
      <c r="D302" t="s">
        <v>316</v>
      </c>
      <c r="E302" t="s">
        <v>376</v>
      </c>
      <c r="F302" s="134">
        <v>5.1718268230000009</v>
      </c>
      <c r="G302" s="135">
        <v>10.269137377</v>
      </c>
      <c r="H302" s="135">
        <v>17.531546232000004</v>
      </c>
      <c r="I302" s="135">
        <v>28.196362055999995</v>
      </c>
      <c r="J302" s="136">
        <v>36.564631769999991</v>
      </c>
      <c r="K302" s="135">
        <v>0</v>
      </c>
      <c r="L302" s="135">
        <v>0</v>
      </c>
      <c r="M302" s="135">
        <v>0</v>
      </c>
      <c r="N302" s="135">
        <v>0</v>
      </c>
      <c r="O302" s="135">
        <v>0</v>
      </c>
      <c r="P302" s="134">
        <v>0</v>
      </c>
      <c r="Q302" s="135">
        <v>7.6009999999999999E-5</v>
      </c>
      <c r="R302" s="135">
        <v>7.6130000000000005E-5</v>
      </c>
      <c r="S302" s="135">
        <v>7.6359999999999994E-5</v>
      </c>
      <c r="T302" s="136">
        <v>7.6500000000000003E-5</v>
      </c>
      <c r="U302" s="135">
        <v>0.105227454</v>
      </c>
      <c r="V302" s="135">
        <v>0.66934115399999994</v>
      </c>
      <c r="W302" s="135">
        <v>1.0145420949999999</v>
      </c>
      <c r="X302" s="135">
        <v>1.2932486919999999</v>
      </c>
      <c r="Y302" s="136">
        <v>1.511484407</v>
      </c>
    </row>
    <row r="303" spans="1:25">
      <c r="A303" s="125" t="s">
        <v>48</v>
      </c>
      <c r="B303" t="s">
        <v>75</v>
      </c>
      <c r="C303" s="186" t="s">
        <v>131</v>
      </c>
      <c r="D303" t="s">
        <v>318</v>
      </c>
      <c r="E303" t="s">
        <v>376</v>
      </c>
      <c r="F303" s="134">
        <v>1.665038061</v>
      </c>
      <c r="G303" s="135">
        <v>2.8323201719999997</v>
      </c>
      <c r="H303" s="135">
        <v>3.4834073640000005</v>
      </c>
      <c r="I303" s="135">
        <v>4.6816292370000001</v>
      </c>
      <c r="J303" s="136">
        <v>6.03101588</v>
      </c>
      <c r="K303" s="135">
        <v>0</v>
      </c>
      <c r="L303" s="135">
        <v>0</v>
      </c>
      <c r="M303" s="135">
        <v>0</v>
      </c>
      <c r="N303" s="135">
        <v>0</v>
      </c>
      <c r="O303" s="135">
        <v>0</v>
      </c>
      <c r="P303" s="134">
        <v>0</v>
      </c>
      <c r="Q303" s="135">
        <v>3.6510000000000001E-5</v>
      </c>
      <c r="R303" s="135">
        <v>3.5840000000000002E-5</v>
      </c>
      <c r="S303" s="135">
        <v>3.5310000000000006E-5</v>
      </c>
      <c r="T303" s="136">
        <v>3.4910000000000003E-5</v>
      </c>
      <c r="U303" s="135">
        <v>3.2655909999999996E-2</v>
      </c>
      <c r="V303" s="135">
        <v>0.21563763399999999</v>
      </c>
      <c r="W303" s="135">
        <v>0.33073982500000004</v>
      </c>
      <c r="X303" s="135">
        <v>0.42379547000000001</v>
      </c>
      <c r="Y303" s="136">
        <v>0.49636381300000004</v>
      </c>
    </row>
    <row r="304" spans="1:25">
      <c r="A304" s="125" t="s">
        <v>48</v>
      </c>
      <c r="B304" t="s">
        <v>75</v>
      </c>
      <c r="C304" s="186" t="s">
        <v>298</v>
      </c>
      <c r="D304" t="s">
        <v>296</v>
      </c>
      <c r="E304" t="s">
        <v>376</v>
      </c>
      <c r="F304" s="134">
        <v>1.871984404</v>
      </c>
      <c r="G304" s="135">
        <v>2.905384529</v>
      </c>
      <c r="H304" s="135">
        <v>3.5435892339999997</v>
      </c>
      <c r="I304" s="135">
        <v>4.1572762670000003</v>
      </c>
      <c r="J304" s="136">
        <v>4.4986287969999994</v>
      </c>
      <c r="K304" s="135">
        <v>0</v>
      </c>
      <c r="L304" s="135">
        <v>0</v>
      </c>
      <c r="M304" s="135">
        <v>0</v>
      </c>
      <c r="N304" s="135">
        <v>0</v>
      </c>
      <c r="O304" s="135">
        <v>0</v>
      </c>
      <c r="P304" s="134">
        <v>0</v>
      </c>
      <c r="Q304" s="135">
        <v>2.7190000000000002E-5</v>
      </c>
      <c r="R304" s="135">
        <v>2.7190000000000002E-5</v>
      </c>
      <c r="S304" s="135">
        <v>2.7190000000000002E-5</v>
      </c>
      <c r="T304" s="136">
        <v>2.7190000000000002E-5</v>
      </c>
      <c r="U304" s="135">
        <v>1.5046760999999999E-2</v>
      </c>
      <c r="V304" s="135">
        <v>7.2639746000000005E-2</v>
      </c>
      <c r="W304" s="135">
        <v>0.10008721200000001</v>
      </c>
      <c r="X304" s="135">
        <v>0.123041214</v>
      </c>
      <c r="Y304" s="136">
        <v>0.14266542300000001</v>
      </c>
    </row>
    <row r="305" spans="1:25">
      <c r="A305" s="125" t="s">
        <v>48</v>
      </c>
      <c r="B305" t="s">
        <v>75</v>
      </c>
      <c r="C305" s="186" t="s">
        <v>295</v>
      </c>
      <c r="D305" t="s">
        <v>293</v>
      </c>
      <c r="E305" t="s">
        <v>376</v>
      </c>
      <c r="F305" s="134">
        <v>4.1000971010000002</v>
      </c>
      <c r="G305" s="135">
        <v>8.8305930189999984</v>
      </c>
      <c r="H305" s="135">
        <v>13.818022892</v>
      </c>
      <c r="I305" s="135">
        <v>20.158406779</v>
      </c>
      <c r="J305" s="136">
        <v>23.880851122999996</v>
      </c>
      <c r="K305" s="135">
        <v>0</v>
      </c>
      <c r="L305" s="135">
        <v>0</v>
      </c>
      <c r="M305" s="135">
        <v>0</v>
      </c>
      <c r="N305" s="135">
        <v>0</v>
      </c>
      <c r="O305" s="135">
        <v>0</v>
      </c>
      <c r="P305" s="134">
        <v>0</v>
      </c>
      <c r="Q305" s="135">
        <v>0</v>
      </c>
      <c r="R305" s="135">
        <v>0</v>
      </c>
      <c r="S305" s="135">
        <v>0</v>
      </c>
      <c r="T305" s="136">
        <v>0</v>
      </c>
      <c r="U305" s="135">
        <v>2.5470942999999999E-2</v>
      </c>
      <c r="V305" s="135">
        <v>0.12757006199999998</v>
      </c>
      <c r="W305" s="135">
        <v>0.17842717999999999</v>
      </c>
      <c r="X305" s="135">
        <v>0.220685559</v>
      </c>
      <c r="Y305" s="136">
        <v>0.256244272</v>
      </c>
    </row>
    <row r="306" spans="1:25">
      <c r="A306" s="125" t="s">
        <v>48</v>
      </c>
      <c r="B306" t="s">
        <v>75</v>
      </c>
      <c r="C306" s="186" t="s">
        <v>322</v>
      </c>
      <c r="D306" t="s">
        <v>320</v>
      </c>
      <c r="E306" t="s">
        <v>376</v>
      </c>
      <c r="F306" s="134">
        <v>2.081962844</v>
      </c>
      <c r="G306" s="135">
        <v>3.4559037149999998</v>
      </c>
      <c r="H306" s="135">
        <v>4.6093085280000015</v>
      </c>
      <c r="I306" s="135">
        <v>5.7864947550000005</v>
      </c>
      <c r="J306" s="136">
        <v>6.3965797319999993</v>
      </c>
      <c r="K306" s="135">
        <v>0</v>
      </c>
      <c r="L306" s="135">
        <v>0</v>
      </c>
      <c r="M306" s="135">
        <v>3.9649999999999995E-5</v>
      </c>
      <c r="N306" s="135">
        <v>1.5769699999999999E-4</v>
      </c>
      <c r="O306" s="135">
        <v>1.8728000000000001E-4</v>
      </c>
      <c r="P306" s="134">
        <v>0</v>
      </c>
      <c r="Q306" s="135">
        <v>0</v>
      </c>
      <c r="R306" s="135">
        <v>0</v>
      </c>
      <c r="S306" s="135">
        <v>0</v>
      </c>
      <c r="T306" s="136">
        <v>0</v>
      </c>
      <c r="U306" s="135">
        <v>4.9324779999999997E-3</v>
      </c>
      <c r="V306" s="135">
        <v>2.9317554000000003E-2</v>
      </c>
      <c r="W306" s="135">
        <v>4.3567134E-2</v>
      </c>
      <c r="X306" s="135">
        <v>5.5157803000000005E-2</v>
      </c>
      <c r="Y306" s="136">
        <v>6.4386434999999992E-2</v>
      </c>
    </row>
    <row r="307" spans="1:25">
      <c r="A307" s="125" t="s">
        <v>48</v>
      </c>
      <c r="B307" t="s">
        <v>75</v>
      </c>
      <c r="C307" s="186" t="s">
        <v>322</v>
      </c>
      <c r="D307" t="s">
        <v>323</v>
      </c>
      <c r="E307" t="s">
        <v>376</v>
      </c>
      <c r="F307" s="134">
        <v>5.180099953</v>
      </c>
      <c r="G307" s="135">
        <v>7.1664214929999996</v>
      </c>
      <c r="H307" s="135">
        <v>10.841930668</v>
      </c>
      <c r="I307" s="135">
        <v>16.293044051000003</v>
      </c>
      <c r="J307" s="136">
        <v>20.918364003000001</v>
      </c>
      <c r="K307" s="135">
        <v>0</v>
      </c>
      <c r="L307" s="135">
        <v>1.585773E-3</v>
      </c>
      <c r="M307" s="135">
        <v>1.6957510000000001E-3</v>
      </c>
      <c r="N307" s="135">
        <v>2.244715E-3</v>
      </c>
      <c r="O307" s="135">
        <v>2.2216930000000003E-3</v>
      </c>
      <c r="P307" s="134">
        <v>0</v>
      </c>
      <c r="Q307" s="135">
        <v>0</v>
      </c>
      <c r="R307" s="135">
        <v>0</v>
      </c>
      <c r="S307" s="135">
        <v>0</v>
      </c>
      <c r="T307" s="136">
        <v>0</v>
      </c>
      <c r="U307" s="135">
        <v>3.5807320000000004E-2</v>
      </c>
      <c r="V307" s="135">
        <v>0.19801073</v>
      </c>
      <c r="W307" s="135">
        <v>0.28731789600000002</v>
      </c>
      <c r="X307" s="135">
        <v>0.36051498100000001</v>
      </c>
      <c r="Y307" s="136">
        <v>0.41998485199999996</v>
      </c>
    </row>
    <row r="308" spans="1:25">
      <c r="A308" s="125" t="s">
        <v>48</v>
      </c>
      <c r="B308" t="s">
        <v>75</v>
      </c>
      <c r="C308" s="186" t="s">
        <v>322</v>
      </c>
      <c r="D308" t="s">
        <v>325</v>
      </c>
      <c r="E308" t="s">
        <v>376</v>
      </c>
      <c r="F308" s="134">
        <v>5.7121574729999995</v>
      </c>
      <c r="G308" s="135">
        <v>11.095834536000002</v>
      </c>
      <c r="H308" s="135">
        <v>18.849283565</v>
      </c>
      <c r="I308" s="135">
        <v>29.468461525999999</v>
      </c>
      <c r="J308" s="136">
        <v>37.547264786000007</v>
      </c>
      <c r="K308" s="135">
        <v>0</v>
      </c>
      <c r="L308" s="135">
        <v>2.90878E-4</v>
      </c>
      <c r="M308" s="135">
        <v>2.23212E-4</v>
      </c>
      <c r="N308" s="135">
        <v>3.8300300000000003E-4</v>
      </c>
      <c r="O308" s="135">
        <v>3.6764799999999999E-4</v>
      </c>
      <c r="P308" s="134">
        <v>0</v>
      </c>
      <c r="Q308" s="135">
        <v>0</v>
      </c>
      <c r="R308" s="135">
        <v>0</v>
      </c>
      <c r="S308" s="135">
        <v>0</v>
      </c>
      <c r="T308" s="136">
        <v>0</v>
      </c>
      <c r="U308" s="135">
        <v>1.0501673999999999E-2</v>
      </c>
      <c r="V308" s="135">
        <v>4.2770146000000002E-2</v>
      </c>
      <c r="W308" s="135">
        <v>5.4364002000000002E-2</v>
      </c>
      <c r="X308" s="135">
        <v>6.4529371000000002E-2</v>
      </c>
      <c r="Y308" s="136">
        <v>7.4200223999999995E-2</v>
      </c>
    </row>
    <row r="309" spans="1:25">
      <c r="A309" s="125" t="s">
        <v>48</v>
      </c>
      <c r="B309" t="s">
        <v>75</v>
      </c>
      <c r="C309" s="186" t="s">
        <v>322</v>
      </c>
      <c r="D309" t="s">
        <v>327</v>
      </c>
      <c r="E309" t="s">
        <v>376</v>
      </c>
      <c r="F309" s="134">
        <v>2.5381392479999998</v>
      </c>
      <c r="G309" s="135">
        <v>3.2995981130000001</v>
      </c>
      <c r="H309" s="135">
        <v>4.4523570440000011</v>
      </c>
      <c r="I309" s="135">
        <v>5.1253095830000008</v>
      </c>
      <c r="J309" s="136">
        <v>5.6951777049999999</v>
      </c>
      <c r="K309" s="135">
        <v>0</v>
      </c>
      <c r="L309" s="135">
        <v>0</v>
      </c>
      <c r="M309" s="135">
        <v>6.6320000000000002E-5</v>
      </c>
      <c r="N309" s="135">
        <v>2.6361400000000001E-4</v>
      </c>
      <c r="O309" s="135">
        <v>3.1309400000000004E-4</v>
      </c>
      <c r="P309" s="134">
        <v>0</v>
      </c>
      <c r="Q309" s="135">
        <v>0</v>
      </c>
      <c r="R309" s="135">
        <v>0</v>
      </c>
      <c r="S309" s="135">
        <v>0</v>
      </c>
      <c r="T309" s="136">
        <v>0</v>
      </c>
      <c r="U309" s="135">
        <v>6.7314290000000006E-3</v>
      </c>
      <c r="V309" s="135">
        <v>3.238742E-2</v>
      </c>
      <c r="W309" s="135">
        <v>4.4562319999999996E-2</v>
      </c>
      <c r="X309" s="135">
        <v>5.4750518999999997E-2</v>
      </c>
      <c r="Y309" s="136">
        <v>6.3474285000000005E-2</v>
      </c>
    </row>
    <row r="310" spans="1:25">
      <c r="A310" s="125" t="s">
        <v>48</v>
      </c>
      <c r="B310" t="s">
        <v>75</v>
      </c>
      <c r="C310" s="186" t="s">
        <v>322</v>
      </c>
      <c r="D310" t="s">
        <v>329</v>
      </c>
      <c r="E310" t="s">
        <v>376</v>
      </c>
      <c r="F310" s="134">
        <v>2.7083630900000006</v>
      </c>
      <c r="G310" s="135">
        <v>3.1462558409999999</v>
      </c>
      <c r="H310" s="135">
        <v>3.9113333849999998</v>
      </c>
      <c r="I310" s="135">
        <v>4.4481432239999998</v>
      </c>
      <c r="J310" s="136">
        <v>5.0609349600000009</v>
      </c>
      <c r="K310" s="135">
        <v>0</v>
      </c>
      <c r="L310" s="135">
        <v>3.42825E-4</v>
      </c>
      <c r="M310" s="135">
        <v>2.5155300000000001E-4</v>
      </c>
      <c r="N310" s="135">
        <v>4.0557899999999999E-4</v>
      </c>
      <c r="O310" s="135">
        <v>3.7895099999999998E-4</v>
      </c>
      <c r="P310" s="134">
        <v>0</v>
      </c>
      <c r="Q310" s="135">
        <v>0</v>
      </c>
      <c r="R310" s="135">
        <v>0</v>
      </c>
      <c r="S310" s="135">
        <v>0</v>
      </c>
      <c r="T310" s="136">
        <v>0</v>
      </c>
      <c r="U310" s="135">
        <v>1.6065348E-2</v>
      </c>
      <c r="V310" s="135">
        <v>7.9335278000000009E-2</v>
      </c>
      <c r="W310" s="135">
        <v>0.11033712300000001</v>
      </c>
      <c r="X310" s="135">
        <v>0.13615828600000002</v>
      </c>
      <c r="Y310" s="136">
        <v>0.15801389599999999</v>
      </c>
    </row>
    <row r="311" spans="1:25">
      <c r="A311" s="125" t="s">
        <v>48</v>
      </c>
      <c r="B311" t="s">
        <v>75</v>
      </c>
      <c r="C311" s="186" t="s">
        <v>322</v>
      </c>
      <c r="D311" t="s">
        <v>331</v>
      </c>
      <c r="E311" t="s">
        <v>376</v>
      </c>
      <c r="F311" s="134">
        <v>1.8554925849999999</v>
      </c>
      <c r="G311" s="135">
        <v>2.237014018</v>
      </c>
      <c r="H311" s="135">
        <v>2.8425292049999999</v>
      </c>
      <c r="I311" s="135">
        <v>3.1175765769999999</v>
      </c>
      <c r="J311" s="136">
        <v>3.3907962239999998</v>
      </c>
      <c r="K311" s="135">
        <v>0</v>
      </c>
      <c r="L311" s="135">
        <v>3.1689799999999997E-4</v>
      </c>
      <c r="M311" s="135">
        <v>3.5179800000000001E-4</v>
      </c>
      <c r="N311" s="135">
        <v>8.1020000000000007E-4</v>
      </c>
      <c r="O311" s="135">
        <v>8.4622600000000005E-4</v>
      </c>
      <c r="P311" s="134">
        <v>0</v>
      </c>
      <c r="Q311" s="135">
        <v>0</v>
      </c>
      <c r="R311" s="135">
        <v>0</v>
      </c>
      <c r="S311" s="135">
        <v>0</v>
      </c>
      <c r="T311" s="136">
        <v>0</v>
      </c>
      <c r="U311" s="135">
        <v>4.156638E-2</v>
      </c>
      <c r="V311" s="135">
        <v>0.26117618500000001</v>
      </c>
      <c r="W311" s="135">
        <v>0.39472349299999998</v>
      </c>
      <c r="X311" s="135">
        <v>0.50282354899999993</v>
      </c>
      <c r="Y311" s="136">
        <v>0.58776129099999996</v>
      </c>
    </row>
    <row r="312" spans="1:25">
      <c r="A312" s="125" t="s">
        <v>48</v>
      </c>
      <c r="B312" t="s">
        <v>75</v>
      </c>
      <c r="C312" s="186" t="s">
        <v>322</v>
      </c>
      <c r="D312" t="s">
        <v>333</v>
      </c>
      <c r="E312" t="s">
        <v>376</v>
      </c>
      <c r="F312" s="134">
        <v>1.1788242149999999</v>
      </c>
      <c r="G312" s="135">
        <v>1.5736180980000001</v>
      </c>
      <c r="H312" s="135">
        <v>2.1594407320000002</v>
      </c>
      <c r="I312" s="135">
        <v>2.329280663</v>
      </c>
      <c r="J312" s="136">
        <v>2.4089575600000002</v>
      </c>
      <c r="K312" s="135">
        <v>0</v>
      </c>
      <c r="L312" s="135">
        <v>0</v>
      </c>
      <c r="M312" s="135">
        <v>1.137E-4</v>
      </c>
      <c r="N312" s="135">
        <v>4.5230900000000002E-4</v>
      </c>
      <c r="O312" s="135">
        <v>5.3714300000000002E-4</v>
      </c>
      <c r="P312" s="134">
        <v>0</v>
      </c>
      <c r="Q312" s="135">
        <v>0</v>
      </c>
      <c r="R312" s="135">
        <v>0</v>
      </c>
      <c r="S312" s="135">
        <v>0</v>
      </c>
      <c r="T312" s="136">
        <v>0</v>
      </c>
      <c r="U312" s="135">
        <v>6.8344044999999992E-2</v>
      </c>
      <c r="V312" s="135">
        <v>0.45312895599999997</v>
      </c>
      <c r="W312" s="135">
        <v>0.69531746399999994</v>
      </c>
      <c r="X312" s="135">
        <v>0.89056031999999996</v>
      </c>
      <c r="Y312" s="136">
        <v>1.0422503330000001</v>
      </c>
    </row>
    <row r="313" spans="1:25">
      <c r="A313" s="125" t="s">
        <v>48</v>
      </c>
      <c r="B313" t="s">
        <v>75</v>
      </c>
      <c r="C313" s="186" t="s">
        <v>322</v>
      </c>
      <c r="D313" t="s">
        <v>335</v>
      </c>
      <c r="E313" t="s">
        <v>376</v>
      </c>
      <c r="F313" s="134">
        <v>3.0949724820000002</v>
      </c>
      <c r="G313" s="135">
        <v>5.0874402340000016</v>
      </c>
      <c r="H313" s="135">
        <v>8.9129512880000004</v>
      </c>
      <c r="I313" s="135">
        <v>14.601850809000002</v>
      </c>
      <c r="J313" s="136">
        <v>19.335236752</v>
      </c>
      <c r="K313" s="135">
        <v>0</v>
      </c>
      <c r="L313" s="135">
        <v>2.9093180000000001E-3</v>
      </c>
      <c r="M313" s="135">
        <v>3.0028869999999997E-3</v>
      </c>
      <c r="N313" s="135">
        <v>3.8298500000000001E-3</v>
      </c>
      <c r="O313" s="135">
        <v>3.751721E-3</v>
      </c>
      <c r="P313" s="134">
        <v>0</v>
      </c>
      <c r="Q313" s="135">
        <v>0</v>
      </c>
      <c r="R313" s="135">
        <v>0</v>
      </c>
      <c r="S313" s="135">
        <v>0</v>
      </c>
      <c r="T313" s="136">
        <v>0</v>
      </c>
      <c r="U313" s="135">
        <v>4.6589860999999996E-2</v>
      </c>
      <c r="V313" s="135">
        <v>0.26997117100000001</v>
      </c>
      <c r="W313" s="135">
        <v>0.39793732700000001</v>
      </c>
      <c r="X313" s="135">
        <v>0.50228541100000001</v>
      </c>
      <c r="Y313" s="136">
        <v>0.58592633299999997</v>
      </c>
    </row>
    <row r="314" spans="1:25">
      <c r="A314" s="125" t="s">
        <v>48</v>
      </c>
      <c r="B314" t="s">
        <v>75</v>
      </c>
      <c r="C314" s="186" t="s">
        <v>322</v>
      </c>
      <c r="D314" t="s">
        <v>337</v>
      </c>
      <c r="E314" t="s">
        <v>376</v>
      </c>
      <c r="F314" s="134">
        <v>1.6857113729999997</v>
      </c>
      <c r="G314" s="135">
        <v>2.1481370059999993</v>
      </c>
      <c r="H314" s="135">
        <v>2.934226217</v>
      </c>
      <c r="I314" s="135">
        <v>3.2844727439999999</v>
      </c>
      <c r="J314" s="136">
        <v>3.5966035179999998</v>
      </c>
      <c r="K314" s="135">
        <v>0</v>
      </c>
      <c r="L314" s="135">
        <v>3.1042500000000002E-4</v>
      </c>
      <c r="M314" s="135">
        <v>2.3389400000000001E-4</v>
      </c>
      <c r="N314" s="135">
        <v>3.91705E-4</v>
      </c>
      <c r="O314" s="135">
        <v>3.7218100000000002E-4</v>
      </c>
      <c r="P314" s="134">
        <v>0</v>
      </c>
      <c r="Q314" s="135">
        <v>0</v>
      </c>
      <c r="R314" s="135">
        <v>0</v>
      </c>
      <c r="S314" s="135">
        <v>0</v>
      </c>
      <c r="T314" s="136">
        <v>0</v>
      </c>
      <c r="U314" s="135">
        <v>1.2945268999999999E-2</v>
      </c>
      <c r="V314" s="135">
        <v>6.5856080999999997E-2</v>
      </c>
      <c r="W314" s="135">
        <v>9.2676845999999993E-2</v>
      </c>
      <c r="X314" s="135">
        <v>0.11490764299999999</v>
      </c>
      <c r="Y314" s="136">
        <v>0.13349797300000002</v>
      </c>
    </row>
    <row r="315" spans="1:25">
      <c r="A315" s="125" t="s">
        <v>48</v>
      </c>
      <c r="B315" t="s">
        <v>75</v>
      </c>
      <c r="C315" s="186" t="s">
        <v>322</v>
      </c>
      <c r="D315" t="s">
        <v>339</v>
      </c>
      <c r="E315" t="s">
        <v>376</v>
      </c>
      <c r="F315" s="134">
        <v>2.5302540069999995</v>
      </c>
      <c r="G315" s="135">
        <v>4.8159329989999993</v>
      </c>
      <c r="H315" s="135">
        <v>8.6860353280000009</v>
      </c>
      <c r="I315" s="135">
        <v>14.723164491999999</v>
      </c>
      <c r="J315" s="136">
        <v>19.620610975000005</v>
      </c>
      <c r="K315" s="135">
        <v>0</v>
      </c>
      <c r="L315" s="135">
        <v>2.6106600000000001E-4</v>
      </c>
      <c r="M315" s="135">
        <v>1.7597399999999999E-4</v>
      </c>
      <c r="N315" s="135">
        <v>2.47132E-4</v>
      </c>
      <c r="O315" s="135">
        <v>2.15243E-4</v>
      </c>
      <c r="P315" s="134">
        <v>0</v>
      </c>
      <c r="Q315" s="135">
        <v>0</v>
      </c>
      <c r="R315" s="135">
        <v>0</v>
      </c>
      <c r="S315" s="135">
        <v>0</v>
      </c>
      <c r="T315" s="136">
        <v>0</v>
      </c>
      <c r="U315" s="135">
        <v>3.288343E-3</v>
      </c>
      <c r="V315" s="135">
        <v>1.3027184000000001E-2</v>
      </c>
      <c r="W315" s="135">
        <v>1.6309093E-2</v>
      </c>
      <c r="X315" s="135">
        <v>1.9222379000000001E-2</v>
      </c>
      <c r="Y315" s="136">
        <v>2.2065104999999998E-2</v>
      </c>
    </row>
    <row r="316" spans="1:25">
      <c r="A316" s="125" t="s">
        <v>48</v>
      </c>
      <c r="B316" t="s">
        <v>75</v>
      </c>
      <c r="C316" s="186" t="s">
        <v>322</v>
      </c>
      <c r="D316" t="s">
        <v>341</v>
      </c>
      <c r="E316" t="s">
        <v>376</v>
      </c>
      <c r="F316" s="134">
        <v>2.5239701879999994</v>
      </c>
      <c r="G316" s="135">
        <v>4.5202154969999997</v>
      </c>
      <c r="H316" s="135">
        <v>8.1639724630000003</v>
      </c>
      <c r="I316" s="135">
        <v>13.53148071</v>
      </c>
      <c r="J316" s="136">
        <v>17.863012852000001</v>
      </c>
      <c r="K316" s="135">
        <v>0</v>
      </c>
      <c r="L316" s="135">
        <v>2.68433E-4</v>
      </c>
      <c r="M316" s="135">
        <v>2.17321E-4</v>
      </c>
      <c r="N316" s="135">
        <v>3.9860299999999998E-4</v>
      </c>
      <c r="O316" s="135">
        <v>4.3092800000000002E-4</v>
      </c>
      <c r="P316" s="134">
        <v>0</v>
      </c>
      <c r="Q316" s="135">
        <v>0</v>
      </c>
      <c r="R316" s="135">
        <v>0</v>
      </c>
      <c r="S316" s="135">
        <v>0</v>
      </c>
      <c r="T316" s="136">
        <v>0</v>
      </c>
      <c r="U316" s="135">
        <v>2.8523136999999997E-2</v>
      </c>
      <c r="V316" s="135">
        <v>0.160666325</v>
      </c>
      <c r="W316" s="135">
        <v>0.23460715199999999</v>
      </c>
      <c r="X316" s="135">
        <v>0.29508261999999996</v>
      </c>
      <c r="Y316" s="136">
        <v>0.34394574499999997</v>
      </c>
    </row>
    <row r="317" spans="1:25">
      <c r="A317" s="125" t="s">
        <v>48</v>
      </c>
      <c r="B317" t="s">
        <v>75</v>
      </c>
      <c r="C317" s="186" t="s">
        <v>322</v>
      </c>
      <c r="D317" t="s">
        <v>343</v>
      </c>
      <c r="E317" t="s">
        <v>376</v>
      </c>
      <c r="F317" s="134">
        <v>0.72026761299999997</v>
      </c>
      <c r="G317" s="135">
        <v>0.97228923299999992</v>
      </c>
      <c r="H317" s="135">
        <v>1.3594912610000001</v>
      </c>
      <c r="I317" s="135">
        <v>1.5502128070000001</v>
      </c>
      <c r="J317" s="136">
        <v>1.70179915</v>
      </c>
      <c r="K317" s="135">
        <v>0</v>
      </c>
      <c r="L317" s="135">
        <v>2.2218800000000001E-4</v>
      </c>
      <c r="M317" s="135">
        <v>1.35721E-4</v>
      </c>
      <c r="N317" s="135">
        <v>1.5422499999999999E-4</v>
      </c>
      <c r="O317" s="135">
        <v>1.165E-4</v>
      </c>
      <c r="P317" s="134">
        <v>0</v>
      </c>
      <c r="Q317" s="135">
        <v>0</v>
      </c>
      <c r="R317" s="135">
        <v>0</v>
      </c>
      <c r="S317" s="135">
        <v>0</v>
      </c>
      <c r="T317" s="136">
        <v>0</v>
      </c>
      <c r="U317" s="135">
        <v>8.5299390000000003E-3</v>
      </c>
      <c r="V317" s="135">
        <v>4.9772933999999998E-2</v>
      </c>
      <c r="W317" s="135">
        <v>7.3530886000000004E-2</v>
      </c>
      <c r="X317" s="135">
        <v>9.2890376999999996E-2</v>
      </c>
      <c r="Y317" s="136">
        <v>0.108379055</v>
      </c>
    </row>
    <row r="318" spans="1:25">
      <c r="A318" s="129" t="s">
        <v>50</v>
      </c>
      <c r="B318" s="130" t="s">
        <v>75</v>
      </c>
      <c r="C318" s="188" t="s">
        <v>101</v>
      </c>
      <c r="D318" s="130" t="s">
        <v>138</v>
      </c>
      <c r="E318" s="130" t="s">
        <v>376</v>
      </c>
      <c r="F318" s="131">
        <v>2.1985844449999998</v>
      </c>
      <c r="G318" s="132">
        <v>4.4852403660000002</v>
      </c>
      <c r="H318" s="132">
        <v>7.7892622649999996</v>
      </c>
      <c r="I318" s="132">
        <v>13.076531948000003</v>
      </c>
      <c r="J318" s="133">
        <v>17.220527892000003</v>
      </c>
      <c r="K318" s="132">
        <v>0</v>
      </c>
      <c r="L318" s="132">
        <v>0</v>
      </c>
      <c r="M318" s="132">
        <v>0</v>
      </c>
      <c r="N318" s="132">
        <v>0</v>
      </c>
      <c r="O318" s="132">
        <v>0</v>
      </c>
      <c r="P318" s="131">
        <v>0</v>
      </c>
      <c r="Q318" s="132">
        <v>0</v>
      </c>
      <c r="R318" s="132">
        <v>0</v>
      </c>
      <c r="S318" s="132">
        <v>0</v>
      </c>
      <c r="T318" s="133">
        <v>0</v>
      </c>
      <c r="U318" s="132">
        <v>3.0156187000000001E-2</v>
      </c>
      <c r="V318" s="132">
        <v>0.10905870100000001</v>
      </c>
      <c r="W318" s="132">
        <v>1.282148412</v>
      </c>
      <c r="X318" s="132">
        <v>2.6840389759999996</v>
      </c>
      <c r="Y318" s="133">
        <v>3.1730048130000004</v>
      </c>
    </row>
    <row r="319" spans="1:25">
      <c r="A319" s="125" t="s">
        <v>50</v>
      </c>
      <c r="B319" t="s">
        <v>75</v>
      </c>
      <c r="C319" s="186" t="s">
        <v>101</v>
      </c>
      <c r="D319" t="s">
        <v>140</v>
      </c>
      <c r="E319" t="s">
        <v>376</v>
      </c>
      <c r="F319" s="134">
        <v>1.7382709310000002</v>
      </c>
      <c r="G319" s="135">
        <v>3.1806845539999999</v>
      </c>
      <c r="H319" s="135">
        <v>4.1782116390000006</v>
      </c>
      <c r="I319" s="135">
        <v>5.2506825109999999</v>
      </c>
      <c r="J319" s="136">
        <v>5.9068681400000003</v>
      </c>
      <c r="K319" s="135">
        <v>0</v>
      </c>
      <c r="L319" s="135">
        <v>0</v>
      </c>
      <c r="M319" s="135">
        <v>0</v>
      </c>
      <c r="N319" s="135">
        <v>0</v>
      </c>
      <c r="O319" s="135">
        <v>0</v>
      </c>
      <c r="P319" s="134">
        <v>0</v>
      </c>
      <c r="Q319" s="135">
        <v>0</v>
      </c>
      <c r="R319" s="135">
        <v>0</v>
      </c>
      <c r="S319" s="135">
        <v>0</v>
      </c>
      <c r="T319" s="136">
        <v>0</v>
      </c>
      <c r="U319" s="135">
        <v>3.3305026000000001E-2</v>
      </c>
      <c r="V319" s="135">
        <v>0.11838206899999999</v>
      </c>
      <c r="W319" s="135">
        <v>1.3861619079999998</v>
      </c>
      <c r="X319" s="135">
        <v>2.9110135069999998</v>
      </c>
      <c r="Y319" s="136">
        <v>3.4319543370000001</v>
      </c>
    </row>
    <row r="320" spans="1:25">
      <c r="A320" s="125" t="s">
        <v>50</v>
      </c>
      <c r="B320" t="s">
        <v>75</v>
      </c>
      <c r="C320" s="186" t="s">
        <v>101</v>
      </c>
      <c r="D320" t="s">
        <v>142</v>
      </c>
      <c r="E320" t="s">
        <v>376</v>
      </c>
      <c r="F320" s="134">
        <v>3.126031765</v>
      </c>
      <c r="G320" s="135">
        <v>6.9697735490000001</v>
      </c>
      <c r="H320" s="135">
        <v>10.330232255</v>
      </c>
      <c r="I320" s="135">
        <v>13.841002086</v>
      </c>
      <c r="J320" s="136">
        <v>15.933249465999998</v>
      </c>
      <c r="K320" s="135">
        <v>0</v>
      </c>
      <c r="L320" s="135">
        <v>0</v>
      </c>
      <c r="M320" s="135">
        <v>0</v>
      </c>
      <c r="N320" s="135">
        <v>0</v>
      </c>
      <c r="O320" s="135">
        <v>0</v>
      </c>
      <c r="P320" s="134">
        <v>0</v>
      </c>
      <c r="Q320" s="135">
        <v>0</v>
      </c>
      <c r="R320" s="135">
        <v>0</v>
      </c>
      <c r="S320" s="135">
        <v>0</v>
      </c>
      <c r="T320" s="136">
        <v>0</v>
      </c>
      <c r="U320" s="135">
        <v>4.2085442000000001E-2</v>
      </c>
      <c r="V320" s="135">
        <v>0.14879747800000001</v>
      </c>
      <c r="W320" s="135">
        <v>1.7515325959999999</v>
      </c>
      <c r="X320" s="135">
        <v>3.6800422949999998</v>
      </c>
      <c r="Y320" s="136">
        <v>4.3399064449999996</v>
      </c>
    </row>
    <row r="321" spans="1:25">
      <c r="A321" s="125" t="s">
        <v>50</v>
      </c>
      <c r="B321" t="s">
        <v>75</v>
      </c>
      <c r="C321" s="186" t="s">
        <v>146</v>
      </c>
      <c r="D321" t="s">
        <v>144</v>
      </c>
      <c r="E321" t="s">
        <v>376</v>
      </c>
      <c r="F321" s="134">
        <v>0.14935765599999998</v>
      </c>
      <c r="G321" s="135">
        <v>0.240655328</v>
      </c>
      <c r="H321" s="135">
        <v>0.33107850999999999</v>
      </c>
      <c r="I321" s="135">
        <v>0.40788970700000005</v>
      </c>
      <c r="J321" s="136">
        <v>0.46911054800000002</v>
      </c>
      <c r="K321" s="135">
        <v>0</v>
      </c>
      <c r="L321" s="135">
        <v>0</v>
      </c>
      <c r="M321" s="135">
        <v>0</v>
      </c>
      <c r="N321" s="135">
        <v>0</v>
      </c>
      <c r="O321" s="135">
        <v>0</v>
      </c>
      <c r="P321" s="134">
        <v>3.2317999999999998E-5</v>
      </c>
      <c r="Q321" s="135">
        <v>3.2423000000000004E-5</v>
      </c>
      <c r="R321" s="135">
        <v>3.2239000000000001E-5</v>
      </c>
      <c r="S321" s="135">
        <v>3.1964000000000001E-5</v>
      </c>
      <c r="T321" s="136">
        <v>3.1590000000000001E-5</v>
      </c>
      <c r="U321" s="135">
        <v>7.9575800000000003E-4</v>
      </c>
      <c r="V321" s="135">
        <v>4.6010649999999997E-3</v>
      </c>
      <c r="W321" s="135">
        <v>3.6403038999999998E-2</v>
      </c>
      <c r="X321" s="135">
        <v>7.3319888E-2</v>
      </c>
      <c r="Y321" s="136">
        <v>8.5994282999999991E-2</v>
      </c>
    </row>
    <row r="322" spans="1:25">
      <c r="A322" s="125" t="s">
        <v>50</v>
      </c>
      <c r="B322" t="s">
        <v>75</v>
      </c>
      <c r="C322" s="186" t="s">
        <v>146</v>
      </c>
      <c r="D322" t="s">
        <v>147</v>
      </c>
      <c r="E322" t="s">
        <v>376</v>
      </c>
      <c r="F322" s="134">
        <v>9.7816613959999987</v>
      </c>
      <c r="G322" s="135">
        <v>23.801230504999999</v>
      </c>
      <c r="H322" s="135">
        <v>46.786374092999992</v>
      </c>
      <c r="I322" s="135">
        <v>83.454906477000037</v>
      </c>
      <c r="J322" s="136">
        <v>112.60459042899998</v>
      </c>
      <c r="K322" s="135">
        <v>0</v>
      </c>
      <c r="L322" s="135">
        <v>0</v>
      </c>
      <c r="M322" s="135">
        <v>0</v>
      </c>
      <c r="N322" s="135">
        <v>0</v>
      </c>
      <c r="O322" s="135">
        <v>0</v>
      </c>
      <c r="P322" s="134">
        <v>7.5073799999999993E-4</v>
      </c>
      <c r="Q322" s="135">
        <v>7.4326899999999996E-4</v>
      </c>
      <c r="R322" s="135">
        <v>7.268419999999999E-4</v>
      </c>
      <c r="S322" s="135">
        <v>7.1092200000000001E-4</v>
      </c>
      <c r="T322" s="136">
        <v>6.9340799999999996E-4</v>
      </c>
      <c r="U322" s="135">
        <v>6.3877666E-2</v>
      </c>
      <c r="V322" s="135">
        <v>0.27633803000000001</v>
      </c>
      <c r="W322" s="135">
        <v>2.7507357520000002</v>
      </c>
      <c r="X322" s="135">
        <v>5.719584599</v>
      </c>
      <c r="Y322" s="136">
        <v>6.7581446600000001</v>
      </c>
    </row>
    <row r="323" spans="1:25">
      <c r="A323" s="125" t="s">
        <v>50</v>
      </c>
      <c r="B323" t="s">
        <v>75</v>
      </c>
      <c r="C323" s="186" t="s">
        <v>146</v>
      </c>
      <c r="D323" t="s">
        <v>149</v>
      </c>
      <c r="E323" t="s">
        <v>376</v>
      </c>
      <c r="F323" s="134">
        <v>4.145142119</v>
      </c>
      <c r="G323" s="135">
        <v>6.4924753580000001</v>
      </c>
      <c r="H323" s="135">
        <v>7.8696725009999993</v>
      </c>
      <c r="I323" s="135">
        <v>8.4639614160000018</v>
      </c>
      <c r="J323" s="136">
        <v>8.7629885660000006</v>
      </c>
      <c r="K323" s="135">
        <v>0</v>
      </c>
      <c r="L323" s="135">
        <v>0</v>
      </c>
      <c r="M323" s="135">
        <v>0</v>
      </c>
      <c r="N323" s="135">
        <v>0</v>
      </c>
      <c r="O323" s="135">
        <v>0</v>
      </c>
      <c r="P323" s="134">
        <v>4.5883999999999996E-4</v>
      </c>
      <c r="Q323" s="135">
        <v>4.5360400000000003E-4</v>
      </c>
      <c r="R323" s="135">
        <v>4.4309999999999998E-4</v>
      </c>
      <c r="S323" s="135">
        <v>4.3304900000000002E-4</v>
      </c>
      <c r="T323" s="136">
        <v>4.2240400000000003E-4</v>
      </c>
      <c r="U323" s="135">
        <v>6.2864882999999996E-2</v>
      </c>
      <c r="V323" s="135">
        <v>0.23271308899999998</v>
      </c>
      <c r="W323" s="135">
        <v>2.6327720540000001</v>
      </c>
      <c r="X323" s="135">
        <v>5.5237459260000001</v>
      </c>
      <c r="Y323" s="136">
        <v>6.5193548720000001</v>
      </c>
    </row>
    <row r="324" spans="1:25">
      <c r="A324" s="125" t="s">
        <v>50</v>
      </c>
      <c r="B324" t="s">
        <v>75</v>
      </c>
      <c r="C324" s="186" t="s">
        <v>356</v>
      </c>
      <c r="D324" t="s">
        <v>354</v>
      </c>
      <c r="E324" t="s">
        <v>376</v>
      </c>
      <c r="F324" s="134">
        <v>2.39465634</v>
      </c>
      <c r="G324" s="135">
        <v>4.5500771640000002</v>
      </c>
      <c r="H324" s="135">
        <v>7.3802432879999991</v>
      </c>
      <c r="I324" s="135">
        <v>12.055036156999998</v>
      </c>
      <c r="J324" s="136">
        <v>15.824006492000001</v>
      </c>
      <c r="K324" s="135">
        <v>0</v>
      </c>
      <c r="L324" s="135">
        <v>0</v>
      </c>
      <c r="M324" s="135">
        <v>0</v>
      </c>
      <c r="N324" s="135">
        <v>0</v>
      </c>
      <c r="O324" s="135">
        <v>0</v>
      </c>
      <c r="P324" s="134">
        <v>0</v>
      </c>
      <c r="Q324" s="135">
        <v>1.9388400000000002E-4</v>
      </c>
      <c r="R324" s="135">
        <v>1.8478900000000001E-4</v>
      </c>
      <c r="S324" s="135">
        <v>1.4314499999999999E-4</v>
      </c>
      <c r="T324" s="136">
        <v>1.9018399999999998E-4</v>
      </c>
      <c r="U324" s="135">
        <v>1.7743220000000001E-2</v>
      </c>
      <c r="V324" s="135">
        <v>6.3602005000000003E-2</v>
      </c>
      <c r="W324" s="135">
        <v>0.75837329799999997</v>
      </c>
      <c r="X324" s="135">
        <v>1.5879265489999999</v>
      </c>
      <c r="Y324" s="136">
        <v>1.879515767</v>
      </c>
    </row>
    <row r="325" spans="1:25">
      <c r="A325" s="125" t="s">
        <v>50</v>
      </c>
      <c r="B325" t="s">
        <v>75</v>
      </c>
      <c r="C325" s="186" t="s">
        <v>356</v>
      </c>
      <c r="D325" t="s">
        <v>357</v>
      </c>
      <c r="E325" t="s">
        <v>376</v>
      </c>
      <c r="F325" s="134">
        <v>0.21792715699999995</v>
      </c>
      <c r="G325" s="135">
        <v>0.20896853600000001</v>
      </c>
      <c r="H325" s="135">
        <v>1.3248431940000001</v>
      </c>
      <c r="I325" s="135">
        <v>3.0531352479999998</v>
      </c>
      <c r="J325" s="136">
        <v>4.1742775559999998</v>
      </c>
      <c r="K325" s="135">
        <v>0</v>
      </c>
      <c r="L325" s="135">
        <v>0</v>
      </c>
      <c r="M325" s="135">
        <v>0</v>
      </c>
      <c r="N325" s="135">
        <v>0</v>
      </c>
      <c r="O325" s="135">
        <v>0</v>
      </c>
      <c r="P325" s="134">
        <v>0</v>
      </c>
      <c r="Q325" s="135">
        <v>2.4886299999999999E-4</v>
      </c>
      <c r="R325" s="135">
        <v>2.4192199999999999E-4</v>
      </c>
      <c r="S325" s="135">
        <v>1.9078199999999999E-4</v>
      </c>
      <c r="T325" s="136">
        <v>2.67428E-4</v>
      </c>
      <c r="U325" s="135">
        <v>2.3584832999999999E-2</v>
      </c>
      <c r="V325" s="135">
        <v>8.2371385999999991E-2</v>
      </c>
      <c r="W325" s="135">
        <v>1.0073848379999999</v>
      </c>
      <c r="X325" s="135">
        <v>2.1125506710000002</v>
      </c>
      <c r="Y325" s="136">
        <v>2.5026640899999997</v>
      </c>
    </row>
    <row r="326" spans="1:25">
      <c r="A326" s="125" t="s">
        <v>50</v>
      </c>
      <c r="B326" t="s">
        <v>75</v>
      </c>
      <c r="C326" s="186" t="s">
        <v>153</v>
      </c>
      <c r="D326" t="s">
        <v>151</v>
      </c>
      <c r="E326" t="s">
        <v>376</v>
      </c>
      <c r="F326" s="134">
        <v>6.6832291000000002E-2</v>
      </c>
      <c r="G326" s="135">
        <v>0.16617939600000001</v>
      </c>
      <c r="H326" s="135">
        <v>0.36965232199999998</v>
      </c>
      <c r="I326" s="135">
        <v>0.769878595</v>
      </c>
      <c r="J326" s="136">
        <v>0.94833615599999987</v>
      </c>
      <c r="K326" s="135">
        <v>0</v>
      </c>
      <c r="L326" s="135">
        <v>0</v>
      </c>
      <c r="M326" s="135">
        <v>0</v>
      </c>
      <c r="N326" s="135">
        <v>0</v>
      </c>
      <c r="O326" s="135">
        <v>0</v>
      </c>
      <c r="P326" s="134">
        <v>3.1080799999999998E-4</v>
      </c>
      <c r="Q326" s="135">
        <v>3.7701399999999995E-4</v>
      </c>
      <c r="R326" s="135">
        <v>3.8981200000000001E-4</v>
      </c>
      <c r="S326" s="135">
        <v>3.9549000000000008E-4</v>
      </c>
      <c r="T326" s="136">
        <v>4.1139799999999999E-4</v>
      </c>
      <c r="U326" s="135">
        <v>7.9406000000000008E-3</v>
      </c>
      <c r="V326" s="135">
        <v>2.7769303000000002E-2</v>
      </c>
      <c r="W326" s="135">
        <v>0.86048979599999997</v>
      </c>
      <c r="X326" s="135">
        <v>1.6782780980000001</v>
      </c>
      <c r="Y326" s="136">
        <v>2.172742768</v>
      </c>
    </row>
    <row r="327" spans="1:25">
      <c r="A327" s="125" t="s">
        <v>50</v>
      </c>
      <c r="B327" t="s">
        <v>75</v>
      </c>
      <c r="C327" s="186" t="s">
        <v>111</v>
      </c>
      <c r="D327" t="s">
        <v>154</v>
      </c>
      <c r="E327" t="s">
        <v>376</v>
      </c>
      <c r="F327" s="134">
        <v>8.8752631219999998</v>
      </c>
      <c r="G327" s="135">
        <v>16.559679699</v>
      </c>
      <c r="H327" s="135">
        <v>23.833394311000003</v>
      </c>
      <c r="I327" s="135">
        <v>33.155535207</v>
      </c>
      <c r="J327" s="136">
        <v>39.192262028000002</v>
      </c>
      <c r="K327" s="135">
        <v>0</v>
      </c>
      <c r="L327" s="135">
        <v>0</v>
      </c>
      <c r="M327" s="135">
        <v>0</v>
      </c>
      <c r="N327" s="135">
        <v>0</v>
      </c>
      <c r="O327" s="135">
        <v>0</v>
      </c>
      <c r="P327" s="134">
        <v>0</v>
      </c>
      <c r="Q327" s="135">
        <v>1.7573100000000002E-4</v>
      </c>
      <c r="R327" s="135">
        <v>2.7198499999999998E-4</v>
      </c>
      <c r="S327" s="135">
        <v>3.6886300000000004E-4</v>
      </c>
      <c r="T327" s="136">
        <v>2.7437700000000002E-4</v>
      </c>
      <c r="U327" s="135">
        <v>8.3158628999999998E-2</v>
      </c>
      <c r="V327" s="135">
        <v>0.29008720300000002</v>
      </c>
      <c r="W327" s="135">
        <v>3.45064401</v>
      </c>
      <c r="X327" s="135">
        <v>7.2635513390000002</v>
      </c>
      <c r="Y327" s="136">
        <v>8.5710456850000014</v>
      </c>
    </row>
    <row r="328" spans="1:25">
      <c r="A328" s="125" t="s">
        <v>50</v>
      </c>
      <c r="B328" t="s">
        <v>75</v>
      </c>
      <c r="C328" s="186" t="s">
        <v>113</v>
      </c>
      <c r="D328" t="s">
        <v>193</v>
      </c>
      <c r="E328" t="s">
        <v>376</v>
      </c>
      <c r="F328" s="134">
        <v>10.135389118611112</v>
      </c>
      <c r="G328" s="135">
        <v>16.952831464444436</v>
      </c>
      <c r="H328" s="135">
        <v>23.091222241111108</v>
      </c>
      <c r="I328" s="135">
        <v>37.819811061666684</v>
      </c>
      <c r="J328" s="136">
        <v>42.424641678055579</v>
      </c>
      <c r="K328" s="135">
        <v>0</v>
      </c>
      <c r="L328" s="135">
        <v>0</v>
      </c>
      <c r="M328" s="135">
        <v>5.8091862000000062E-5</v>
      </c>
      <c r="N328" s="135">
        <v>7.7300012000000042E-5</v>
      </c>
      <c r="O328" s="135">
        <v>8.1733579999999998E-5</v>
      </c>
      <c r="P328" s="134">
        <v>0</v>
      </c>
      <c r="Q328" s="135">
        <v>0</v>
      </c>
      <c r="R328" s="135">
        <v>0</v>
      </c>
      <c r="S328" s="135">
        <v>0</v>
      </c>
      <c r="T328" s="136">
        <v>0</v>
      </c>
      <c r="U328" s="135">
        <v>8.9309685999999999E-2</v>
      </c>
      <c r="V328" s="135">
        <v>0.42375030699999988</v>
      </c>
      <c r="W328" s="135">
        <v>4.0525210310000004</v>
      </c>
      <c r="X328" s="135">
        <v>8.4321034800000039</v>
      </c>
      <c r="Y328" s="136">
        <v>10.070500949999998</v>
      </c>
    </row>
    <row r="329" spans="1:25">
      <c r="A329" s="125" t="s">
        <v>50</v>
      </c>
      <c r="B329" t="s">
        <v>75</v>
      </c>
      <c r="C329" s="186" t="s">
        <v>113</v>
      </c>
      <c r="D329" t="s">
        <v>195</v>
      </c>
      <c r="E329" t="s">
        <v>376</v>
      </c>
      <c r="F329" s="134">
        <v>15.480633226111102</v>
      </c>
      <c r="G329" s="135">
        <v>22.848912446666645</v>
      </c>
      <c r="H329" s="135">
        <v>28.261747857222222</v>
      </c>
      <c r="I329" s="135">
        <v>43.155407418333311</v>
      </c>
      <c r="J329" s="136">
        <v>47.546385579166667</v>
      </c>
      <c r="K329" s="135">
        <v>0</v>
      </c>
      <c r="L329" s="135">
        <v>0</v>
      </c>
      <c r="M329" s="135">
        <v>2.276348000000001E-6</v>
      </c>
      <c r="N329" s="135">
        <v>1.8544990000000009E-5</v>
      </c>
      <c r="O329" s="135">
        <v>2.9229999999999983E-5</v>
      </c>
      <c r="P329" s="134">
        <v>0</v>
      </c>
      <c r="Q329" s="135">
        <v>0</v>
      </c>
      <c r="R329" s="135">
        <v>0</v>
      </c>
      <c r="S329" s="135">
        <v>0</v>
      </c>
      <c r="T329" s="136">
        <v>0</v>
      </c>
      <c r="U329" s="135">
        <v>0.107456963</v>
      </c>
      <c r="V329" s="135">
        <v>0.38850175900000011</v>
      </c>
      <c r="W329" s="135">
        <v>4.888790393999999</v>
      </c>
      <c r="X329" s="135">
        <v>10.288203873000004</v>
      </c>
      <c r="Y329" s="136">
        <v>12.369859082</v>
      </c>
    </row>
    <row r="330" spans="1:25">
      <c r="A330" s="125" t="s">
        <v>50</v>
      </c>
      <c r="B330" t="s">
        <v>75</v>
      </c>
      <c r="C330" s="186" t="s">
        <v>113</v>
      </c>
      <c r="D330" t="s">
        <v>197</v>
      </c>
      <c r="E330" t="s">
        <v>376</v>
      </c>
      <c r="F330" s="134">
        <v>2.6780174852777776</v>
      </c>
      <c r="G330" s="135">
        <v>2.6452639899999992</v>
      </c>
      <c r="H330" s="135">
        <v>2.175019033611111</v>
      </c>
      <c r="I330" s="135">
        <v>2.367304477222222</v>
      </c>
      <c r="J330" s="136">
        <v>2.4227641311111108</v>
      </c>
      <c r="K330" s="135">
        <v>0</v>
      </c>
      <c r="L330" s="135">
        <v>0</v>
      </c>
      <c r="M330" s="135">
        <v>3.0417699999999998E-4</v>
      </c>
      <c r="N330" s="135">
        <v>2.7261700000000001E-4</v>
      </c>
      <c r="O330" s="135">
        <v>2.5689799999999998E-4</v>
      </c>
      <c r="P330" s="134">
        <v>0</v>
      </c>
      <c r="Q330" s="135">
        <v>0</v>
      </c>
      <c r="R330" s="135">
        <v>0</v>
      </c>
      <c r="S330" s="135">
        <v>0</v>
      </c>
      <c r="T330" s="136">
        <v>0</v>
      </c>
      <c r="U330" s="135">
        <v>2.6184309999999999E-2</v>
      </c>
      <c r="V330" s="135">
        <v>9.76635E-2</v>
      </c>
      <c r="W330" s="135">
        <v>1.261218714</v>
      </c>
      <c r="X330" s="135">
        <v>2.6189106999999998</v>
      </c>
      <c r="Y330" s="136">
        <v>3.1637342119999996</v>
      </c>
    </row>
    <row r="331" spans="1:25">
      <c r="A331" s="125" t="s">
        <v>50</v>
      </c>
      <c r="B331" t="s">
        <v>75</v>
      </c>
      <c r="C331" s="186" t="s">
        <v>113</v>
      </c>
      <c r="D331" t="s">
        <v>199</v>
      </c>
      <c r="E331" t="s">
        <v>376</v>
      </c>
      <c r="F331" s="134">
        <v>2.8394851841666662</v>
      </c>
      <c r="G331" s="135">
        <v>7.2859723683333328</v>
      </c>
      <c r="H331" s="135">
        <v>11.653158624444441</v>
      </c>
      <c r="I331" s="135">
        <v>21.180051043611112</v>
      </c>
      <c r="J331" s="136">
        <v>23.932536662222223</v>
      </c>
      <c r="K331" s="135">
        <v>0</v>
      </c>
      <c r="L331" s="135">
        <v>0</v>
      </c>
      <c r="M331" s="135">
        <v>1.5368040000000001E-4</v>
      </c>
      <c r="N331" s="135">
        <v>1.3662280000000001E-4</v>
      </c>
      <c r="O331" s="135">
        <v>1.4081780000000006E-4</v>
      </c>
      <c r="P331" s="134">
        <v>0</v>
      </c>
      <c r="Q331" s="135">
        <v>0</v>
      </c>
      <c r="R331" s="135">
        <v>0</v>
      </c>
      <c r="S331" s="135">
        <v>0</v>
      </c>
      <c r="T331" s="136">
        <v>0</v>
      </c>
      <c r="U331" s="135">
        <v>2.0923692000000001E-2</v>
      </c>
      <c r="V331" s="135">
        <v>7.738814300000002E-2</v>
      </c>
      <c r="W331" s="135">
        <v>0.8737184349999999</v>
      </c>
      <c r="X331" s="135">
        <v>1.825017516</v>
      </c>
      <c r="Y331" s="136">
        <v>2.1452203430000001</v>
      </c>
    </row>
    <row r="332" spans="1:25">
      <c r="A332" s="125" t="s">
        <v>50</v>
      </c>
      <c r="B332" t="s">
        <v>75</v>
      </c>
      <c r="C332" s="186" t="s">
        <v>113</v>
      </c>
      <c r="D332" t="s">
        <v>201</v>
      </c>
      <c r="E332" t="s">
        <v>376</v>
      </c>
      <c r="F332" s="134">
        <v>2.486839281944444</v>
      </c>
      <c r="G332" s="135">
        <v>5.2468454502777773</v>
      </c>
      <c r="H332" s="135">
        <v>6.3458177830555549</v>
      </c>
      <c r="I332" s="135">
        <v>7.3559284902777771</v>
      </c>
      <c r="J332" s="136">
        <v>7.8852484205555555</v>
      </c>
      <c r="K332" s="135">
        <v>0</v>
      </c>
      <c r="L332" s="135">
        <v>0</v>
      </c>
      <c r="M332" s="135">
        <v>4.2547799999999999E-5</v>
      </c>
      <c r="N332" s="135">
        <v>2.8444400000000002E-5</v>
      </c>
      <c r="O332" s="135">
        <v>2.7741600000000006E-5</v>
      </c>
      <c r="P332" s="134">
        <v>0</v>
      </c>
      <c r="Q332" s="135">
        <v>0</v>
      </c>
      <c r="R332" s="135">
        <v>0</v>
      </c>
      <c r="S332" s="135">
        <v>0</v>
      </c>
      <c r="T332" s="136">
        <v>0</v>
      </c>
      <c r="U332" s="135">
        <v>5.055159E-3</v>
      </c>
      <c r="V332" s="135">
        <v>8.6510469000000007E-2</v>
      </c>
      <c r="W332" s="135">
        <v>0.35227109200000001</v>
      </c>
      <c r="X332" s="135">
        <v>0.64455779600000007</v>
      </c>
      <c r="Y332" s="136">
        <v>0.77592321399999997</v>
      </c>
    </row>
    <row r="333" spans="1:25">
      <c r="A333" s="125" t="s">
        <v>50</v>
      </c>
      <c r="B333" t="s">
        <v>75</v>
      </c>
      <c r="C333" s="186" t="s">
        <v>113</v>
      </c>
      <c r="D333" t="s">
        <v>203</v>
      </c>
      <c r="E333" t="s">
        <v>376</v>
      </c>
      <c r="F333" s="134">
        <v>1.7887661447222221</v>
      </c>
      <c r="G333" s="135">
        <v>3.7026513619444446</v>
      </c>
      <c r="H333" s="135">
        <v>5.7646208744444438</v>
      </c>
      <c r="I333" s="135">
        <v>10.984626380555556</v>
      </c>
      <c r="J333" s="136">
        <v>12.534883508611109</v>
      </c>
      <c r="K333" s="135">
        <v>0</v>
      </c>
      <c r="L333" s="135">
        <v>0</v>
      </c>
      <c r="M333" s="135">
        <v>2.0277899999999999E-4</v>
      </c>
      <c r="N333" s="135">
        <v>1.9660000000000001E-4</v>
      </c>
      <c r="O333" s="135">
        <v>1.8369999999999999E-4</v>
      </c>
      <c r="P333" s="134">
        <v>0</v>
      </c>
      <c r="Q333" s="135">
        <v>0</v>
      </c>
      <c r="R333" s="135">
        <v>0</v>
      </c>
      <c r="S333" s="135">
        <v>0</v>
      </c>
      <c r="T333" s="136">
        <v>0</v>
      </c>
      <c r="U333" s="135">
        <v>1.2936641E-2</v>
      </c>
      <c r="V333" s="135">
        <v>0.17903924700000001</v>
      </c>
      <c r="W333" s="135">
        <v>0.86526185700000002</v>
      </c>
      <c r="X333" s="135">
        <v>1.628631288</v>
      </c>
      <c r="Y333" s="136">
        <v>1.9791596330000001</v>
      </c>
    </row>
    <row r="334" spans="1:25">
      <c r="A334" s="125" t="s">
        <v>50</v>
      </c>
      <c r="B334" t="s">
        <v>75</v>
      </c>
      <c r="C334" s="186" t="s">
        <v>113</v>
      </c>
      <c r="D334" t="s">
        <v>205</v>
      </c>
      <c r="E334" t="s">
        <v>376</v>
      </c>
      <c r="F334" s="134">
        <v>5.6070949858333323</v>
      </c>
      <c r="G334" s="135">
        <v>5.9681153233333344</v>
      </c>
      <c r="H334" s="135">
        <v>5.3008446361111092</v>
      </c>
      <c r="I334" s="135">
        <v>5.8551620625000007</v>
      </c>
      <c r="J334" s="136">
        <v>6.0216037552777797</v>
      </c>
      <c r="K334" s="135">
        <v>0</v>
      </c>
      <c r="L334" s="135">
        <v>0</v>
      </c>
      <c r="M334" s="135">
        <v>7.0898800000000021E-7</v>
      </c>
      <c r="N334" s="135">
        <v>9.4523599999999933E-6</v>
      </c>
      <c r="O334" s="135">
        <v>1.6001160000000009E-5</v>
      </c>
      <c r="P334" s="134">
        <v>0</v>
      </c>
      <c r="Q334" s="135">
        <v>0</v>
      </c>
      <c r="R334" s="135">
        <v>0</v>
      </c>
      <c r="S334" s="135">
        <v>0</v>
      </c>
      <c r="T334" s="136">
        <v>0</v>
      </c>
      <c r="U334" s="135">
        <v>4.9350113000000001E-2</v>
      </c>
      <c r="V334" s="135">
        <v>0.19588997099999997</v>
      </c>
      <c r="W334" s="135">
        <v>2.6996352770000001</v>
      </c>
      <c r="X334" s="135">
        <v>5.5034102009999994</v>
      </c>
      <c r="Y334" s="136">
        <v>6.7196237379999983</v>
      </c>
    </row>
    <row r="335" spans="1:25">
      <c r="A335" s="125" t="s">
        <v>50</v>
      </c>
      <c r="B335" t="s">
        <v>75</v>
      </c>
      <c r="C335" s="186" t="s">
        <v>113</v>
      </c>
      <c r="D335" t="s">
        <v>207</v>
      </c>
      <c r="E335" t="s">
        <v>376</v>
      </c>
      <c r="F335" s="134">
        <v>0.61065910138888868</v>
      </c>
      <c r="G335" s="135">
        <v>0.74901490861111109</v>
      </c>
      <c r="H335" s="135">
        <v>0.78829226444444445</v>
      </c>
      <c r="I335" s="135">
        <v>0.88348223222222222</v>
      </c>
      <c r="J335" s="136">
        <v>0.93906388222222215</v>
      </c>
      <c r="K335" s="135">
        <v>0</v>
      </c>
      <c r="L335" s="135">
        <v>0</v>
      </c>
      <c r="M335" s="135">
        <v>3.4393400000000015E-5</v>
      </c>
      <c r="N335" s="135">
        <v>3.4762999999999999E-5</v>
      </c>
      <c r="O335" s="135">
        <v>3.3167800000000005E-5</v>
      </c>
      <c r="P335" s="134">
        <v>0</v>
      </c>
      <c r="Q335" s="135">
        <v>0</v>
      </c>
      <c r="R335" s="135">
        <v>0</v>
      </c>
      <c r="S335" s="135">
        <v>0</v>
      </c>
      <c r="T335" s="136">
        <v>0</v>
      </c>
      <c r="U335" s="135">
        <v>1.3874824000000001E-2</v>
      </c>
      <c r="V335" s="135">
        <v>6.9223668000000002E-2</v>
      </c>
      <c r="W335" s="135">
        <v>0.59033586500000013</v>
      </c>
      <c r="X335" s="135">
        <v>1.1843351</v>
      </c>
      <c r="Y335" s="136">
        <v>1.3687297740000002</v>
      </c>
    </row>
    <row r="336" spans="1:25">
      <c r="A336" s="125" t="s">
        <v>50</v>
      </c>
      <c r="B336" t="s">
        <v>75</v>
      </c>
      <c r="C336" s="186" t="s">
        <v>113</v>
      </c>
      <c r="D336" t="s">
        <v>209</v>
      </c>
      <c r="E336" t="s">
        <v>376</v>
      </c>
      <c r="F336" s="134">
        <v>10.676902134166665</v>
      </c>
      <c r="G336" s="135">
        <v>17.391329573611102</v>
      </c>
      <c r="H336" s="135">
        <v>20.811173733333334</v>
      </c>
      <c r="I336" s="135">
        <v>27.555690015277779</v>
      </c>
      <c r="J336" s="136">
        <v>29.832073850000015</v>
      </c>
      <c r="K336" s="135">
        <v>0</v>
      </c>
      <c r="L336" s="135">
        <v>0</v>
      </c>
      <c r="M336" s="135">
        <v>9.8516512000000045E-5</v>
      </c>
      <c r="N336" s="135">
        <v>1.2079378999999999E-4</v>
      </c>
      <c r="O336" s="135">
        <v>1.2831450000000004E-4</v>
      </c>
      <c r="P336" s="134">
        <v>0</v>
      </c>
      <c r="Q336" s="135">
        <v>0</v>
      </c>
      <c r="R336" s="135">
        <v>0</v>
      </c>
      <c r="S336" s="135">
        <v>0</v>
      </c>
      <c r="T336" s="136">
        <v>0</v>
      </c>
      <c r="U336" s="135">
        <v>6.4866249999999986E-2</v>
      </c>
      <c r="V336" s="135">
        <v>0.28793299500000002</v>
      </c>
      <c r="W336" s="135">
        <v>2.8572657819999994</v>
      </c>
      <c r="X336" s="135">
        <v>5.913664346</v>
      </c>
      <c r="Y336" s="136">
        <v>6.9907168679999989</v>
      </c>
    </row>
    <row r="337" spans="1:25">
      <c r="A337" s="125" t="s">
        <v>50</v>
      </c>
      <c r="B337" t="s">
        <v>75</v>
      </c>
      <c r="C337" s="186" t="s">
        <v>113</v>
      </c>
      <c r="D337" t="s">
        <v>211</v>
      </c>
      <c r="E337" t="s">
        <v>376</v>
      </c>
      <c r="F337" s="134">
        <v>34.827250619166676</v>
      </c>
      <c r="G337" s="135">
        <v>62.381787803333317</v>
      </c>
      <c r="H337" s="135">
        <v>77.650216032777777</v>
      </c>
      <c r="I337" s="135">
        <v>113.37541369361121</v>
      </c>
      <c r="J337" s="136">
        <v>124.24798064638884</v>
      </c>
      <c r="K337" s="135">
        <v>0</v>
      </c>
      <c r="L337" s="135">
        <v>0</v>
      </c>
      <c r="M337" s="135">
        <v>1.4672323200000005E-4</v>
      </c>
      <c r="N337" s="135">
        <v>1.5586567999999998E-4</v>
      </c>
      <c r="O337" s="135">
        <v>1.6567402000000001E-4</v>
      </c>
      <c r="P337" s="134">
        <v>0</v>
      </c>
      <c r="Q337" s="135">
        <v>0</v>
      </c>
      <c r="R337" s="135">
        <v>0</v>
      </c>
      <c r="S337" s="135">
        <v>0</v>
      </c>
      <c r="T337" s="136">
        <v>0</v>
      </c>
      <c r="U337" s="135">
        <v>0.14013714999999999</v>
      </c>
      <c r="V337" s="135">
        <v>0.63539415599999982</v>
      </c>
      <c r="W337" s="135">
        <v>6.3528022810000007</v>
      </c>
      <c r="X337" s="135">
        <v>13.023178652000004</v>
      </c>
      <c r="Y337" s="136">
        <v>15.408381072999999</v>
      </c>
    </row>
    <row r="338" spans="1:25">
      <c r="A338" s="125" t="s">
        <v>50</v>
      </c>
      <c r="B338" t="s">
        <v>75</v>
      </c>
      <c r="C338" s="186" t="s">
        <v>113</v>
      </c>
      <c r="D338" t="s">
        <v>213</v>
      </c>
      <c r="E338" t="s">
        <v>376</v>
      </c>
      <c r="F338" s="134">
        <v>3.8339096772222234</v>
      </c>
      <c r="G338" s="135">
        <v>9.5358902841666726</v>
      </c>
      <c r="H338" s="135">
        <v>12.328982892777777</v>
      </c>
      <c r="I338" s="135">
        <v>16.432471202222224</v>
      </c>
      <c r="J338" s="136">
        <v>17.122044272222208</v>
      </c>
      <c r="K338" s="135">
        <v>0</v>
      </c>
      <c r="L338" s="135">
        <v>0</v>
      </c>
      <c r="M338" s="135">
        <v>4.8787799999999916E-6</v>
      </c>
      <c r="N338" s="135">
        <v>9.0248080000000006E-6</v>
      </c>
      <c r="O338" s="135">
        <v>9.9422320000000054E-6</v>
      </c>
      <c r="P338" s="134">
        <v>0</v>
      </c>
      <c r="Q338" s="135">
        <v>0</v>
      </c>
      <c r="R338" s="135">
        <v>0</v>
      </c>
      <c r="S338" s="135">
        <v>0</v>
      </c>
      <c r="T338" s="136">
        <v>0</v>
      </c>
      <c r="U338" s="135">
        <v>3.4512324000000004E-2</v>
      </c>
      <c r="V338" s="135">
        <v>0.13683190300000003</v>
      </c>
      <c r="W338" s="135">
        <v>1.4686050310000003</v>
      </c>
      <c r="X338" s="135">
        <v>3.0718554729999989</v>
      </c>
      <c r="Y338" s="136">
        <v>3.6303769779999993</v>
      </c>
    </row>
    <row r="339" spans="1:25">
      <c r="A339" s="125" t="s">
        <v>50</v>
      </c>
      <c r="B339" t="s">
        <v>75</v>
      </c>
      <c r="C339" s="186" t="s">
        <v>113</v>
      </c>
      <c r="D339" t="s">
        <v>215</v>
      </c>
      <c r="E339" t="s">
        <v>376</v>
      </c>
      <c r="F339" s="134">
        <v>2.9972592588888887</v>
      </c>
      <c r="G339" s="135">
        <v>6.2202695327777775</v>
      </c>
      <c r="H339" s="135">
        <v>7.5072552666666645</v>
      </c>
      <c r="I339" s="135">
        <v>8.7563758525000015</v>
      </c>
      <c r="J339" s="136">
        <v>9.4524385274999965</v>
      </c>
      <c r="K339" s="135">
        <v>0</v>
      </c>
      <c r="L339" s="135">
        <v>0</v>
      </c>
      <c r="M339" s="135">
        <v>4.4972692000000009E-5</v>
      </c>
      <c r="N339" s="135">
        <v>4.8656039999999999E-5</v>
      </c>
      <c r="O339" s="135">
        <v>4.7846120000000004E-5</v>
      </c>
      <c r="P339" s="134">
        <v>0</v>
      </c>
      <c r="Q339" s="135">
        <v>0</v>
      </c>
      <c r="R339" s="135">
        <v>0</v>
      </c>
      <c r="S339" s="135">
        <v>0</v>
      </c>
      <c r="T339" s="136">
        <v>0</v>
      </c>
      <c r="U339" s="135">
        <v>7.8026459999999999E-3</v>
      </c>
      <c r="V339" s="135">
        <v>2.9571509999999999E-2</v>
      </c>
      <c r="W339" s="135">
        <v>0.32208222399999997</v>
      </c>
      <c r="X339" s="135">
        <v>0.66042038700000005</v>
      </c>
      <c r="Y339" s="136">
        <v>0.76532930200000016</v>
      </c>
    </row>
    <row r="340" spans="1:25">
      <c r="A340" s="125" t="s">
        <v>50</v>
      </c>
      <c r="B340" t="s">
        <v>75</v>
      </c>
      <c r="C340" s="186" t="s">
        <v>113</v>
      </c>
      <c r="D340" t="s">
        <v>217</v>
      </c>
      <c r="E340" t="s">
        <v>376</v>
      </c>
      <c r="F340" s="134">
        <v>2.478433331666666</v>
      </c>
      <c r="G340" s="135">
        <v>3.6228036374999979</v>
      </c>
      <c r="H340" s="135">
        <v>4.2232947447222209</v>
      </c>
      <c r="I340" s="135">
        <v>5.5922239922222241</v>
      </c>
      <c r="J340" s="136">
        <v>6.0271796880555577</v>
      </c>
      <c r="K340" s="135">
        <v>0</v>
      </c>
      <c r="L340" s="135">
        <v>0</v>
      </c>
      <c r="M340" s="135">
        <v>3.6050220000000003E-4</v>
      </c>
      <c r="N340" s="135">
        <v>3.3267440000000006E-4</v>
      </c>
      <c r="O340" s="135">
        <v>3.1910719999999997E-4</v>
      </c>
      <c r="P340" s="134">
        <v>0</v>
      </c>
      <c r="Q340" s="135">
        <v>0</v>
      </c>
      <c r="R340" s="135">
        <v>0</v>
      </c>
      <c r="S340" s="135">
        <v>0</v>
      </c>
      <c r="T340" s="136">
        <v>0</v>
      </c>
      <c r="U340" s="135">
        <v>3.1121692000000003E-2</v>
      </c>
      <c r="V340" s="135">
        <v>0.10992172499999997</v>
      </c>
      <c r="W340" s="135">
        <v>1.243971699</v>
      </c>
      <c r="X340" s="135">
        <v>2.5475363579999999</v>
      </c>
      <c r="Y340" s="136">
        <v>2.9341711409999998</v>
      </c>
    </row>
    <row r="341" spans="1:25">
      <c r="A341" s="125" t="s">
        <v>50</v>
      </c>
      <c r="B341" t="s">
        <v>75</v>
      </c>
      <c r="C341" s="186" t="s">
        <v>113</v>
      </c>
      <c r="D341" t="s">
        <v>219</v>
      </c>
      <c r="E341" t="s">
        <v>376</v>
      </c>
      <c r="F341" s="134">
        <v>7.4281361155555539</v>
      </c>
      <c r="G341" s="135">
        <v>17.66613797944445</v>
      </c>
      <c r="H341" s="135">
        <v>24.644267389166668</v>
      </c>
      <c r="I341" s="135">
        <v>38.862215569166658</v>
      </c>
      <c r="J341" s="136">
        <v>42.154419073055543</v>
      </c>
      <c r="K341" s="135">
        <v>0</v>
      </c>
      <c r="L341" s="135">
        <v>0</v>
      </c>
      <c r="M341" s="135">
        <v>1.1428959999999999E-4</v>
      </c>
      <c r="N341" s="135">
        <v>9.8204599999999985E-5</v>
      </c>
      <c r="O341" s="135">
        <v>1.0134199999999999E-4</v>
      </c>
      <c r="P341" s="134">
        <v>0</v>
      </c>
      <c r="Q341" s="135">
        <v>0</v>
      </c>
      <c r="R341" s="135">
        <v>0</v>
      </c>
      <c r="S341" s="135">
        <v>0</v>
      </c>
      <c r="T341" s="136">
        <v>0</v>
      </c>
      <c r="U341" s="135">
        <v>1.6882516E-2</v>
      </c>
      <c r="V341" s="135">
        <v>5.9285901000000002E-2</v>
      </c>
      <c r="W341" s="135">
        <v>0.70486737899999996</v>
      </c>
      <c r="X341" s="135">
        <v>1.4115529950000001</v>
      </c>
      <c r="Y341" s="136">
        <v>1.6190211550000002</v>
      </c>
    </row>
    <row r="342" spans="1:25">
      <c r="A342" s="125" t="s">
        <v>50</v>
      </c>
      <c r="B342" t="s">
        <v>75</v>
      </c>
      <c r="C342" s="186" t="s">
        <v>113</v>
      </c>
      <c r="D342" t="s">
        <v>221</v>
      </c>
      <c r="E342" t="s">
        <v>376</v>
      </c>
      <c r="F342" s="134">
        <v>3.356793441666666</v>
      </c>
      <c r="G342" s="135">
        <v>6.7765312830555517</v>
      </c>
      <c r="H342" s="135">
        <v>10.161245027499993</v>
      </c>
      <c r="I342" s="135">
        <v>16.740741955277777</v>
      </c>
      <c r="J342" s="136">
        <v>18.174613347222206</v>
      </c>
      <c r="K342" s="135">
        <v>0</v>
      </c>
      <c r="L342" s="135">
        <v>0</v>
      </c>
      <c r="M342" s="135">
        <v>1.7142037600000002E-4</v>
      </c>
      <c r="N342" s="135">
        <v>2.0008169999999995E-4</v>
      </c>
      <c r="O342" s="135">
        <v>1.9766727999999997E-4</v>
      </c>
      <c r="P342" s="134">
        <v>0</v>
      </c>
      <c r="Q342" s="135">
        <v>0</v>
      </c>
      <c r="R342" s="135">
        <v>0</v>
      </c>
      <c r="S342" s="135">
        <v>0</v>
      </c>
      <c r="T342" s="136">
        <v>0</v>
      </c>
      <c r="U342" s="135">
        <v>2.4164913999999999E-2</v>
      </c>
      <c r="V342" s="135">
        <v>0.11404641100000001</v>
      </c>
      <c r="W342" s="135">
        <v>1.07787246</v>
      </c>
      <c r="X342" s="135">
        <v>2.2402536439999996</v>
      </c>
      <c r="Y342" s="136">
        <v>2.6606298200000005</v>
      </c>
    </row>
    <row r="343" spans="1:25">
      <c r="A343" s="125" t="s">
        <v>50</v>
      </c>
      <c r="B343" t="s">
        <v>75</v>
      </c>
      <c r="C343" s="186" t="s">
        <v>113</v>
      </c>
      <c r="D343" t="s">
        <v>223</v>
      </c>
      <c r="E343" t="s">
        <v>376</v>
      </c>
      <c r="F343" s="134">
        <v>2.0443955925000012</v>
      </c>
      <c r="G343" s="135">
        <v>2.9872492991666673</v>
      </c>
      <c r="H343" s="135">
        <v>3.3346078683333324</v>
      </c>
      <c r="I343" s="135">
        <v>3.9088994097222245</v>
      </c>
      <c r="J343" s="136">
        <v>4.1350308838888896</v>
      </c>
      <c r="K343" s="135">
        <v>0</v>
      </c>
      <c r="L343" s="135">
        <v>0</v>
      </c>
      <c r="M343" s="135">
        <v>6.865800000000001E-7</v>
      </c>
      <c r="N343" s="135">
        <v>6.3923999999999989E-7</v>
      </c>
      <c r="O343" s="135">
        <v>1.6537199999999992E-6</v>
      </c>
      <c r="P343" s="134">
        <v>0</v>
      </c>
      <c r="Q343" s="135">
        <v>0</v>
      </c>
      <c r="R343" s="135">
        <v>0</v>
      </c>
      <c r="S343" s="135">
        <v>0</v>
      </c>
      <c r="T343" s="136">
        <v>0</v>
      </c>
      <c r="U343" s="135">
        <v>1.7049695E-2</v>
      </c>
      <c r="V343" s="135">
        <v>5.8975791999999992E-2</v>
      </c>
      <c r="W343" s="135">
        <v>0.66749154399999988</v>
      </c>
      <c r="X343" s="135">
        <v>1.3547642799999997</v>
      </c>
      <c r="Y343" s="136">
        <v>1.5444207570000001</v>
      </c>
    </row>
    <row r="344" spans="1:25">
      <c r="A344" s="125" t="s">
        <v>50</v>
      </c>
      <c r="B344" t="s">
        <v>75</v>
      </c>
      <c r="C344" s="186" t="s">
        <v>115</v>
      </c>
      <c r="D344" t="s">
        <v>156</v>
      </c>
      <c r="E344" t="s">
        <v>376</v>
      </c>
      <c r="F344" s="134">
        <v>3.5046098399999996</v>
      </c>
      <c r="G344" s="135">
        <v>5.229196741</v>
      </c>
      <c r="H344" s="135">
        <v>6.1110604410000011</v>
      </c>
      <c r="I344" s="135">
        <v>7.3380193269999996</v>
      </c>
      <c r="J344" s="136">
        <v>8.3162903260000007</v>
      </c>
      <c r="K344" s="135">
        <v>0</v>
      </c>
      <c r="L344" s="135">
        <v>0</v>
      </c>
      <c r="M344" s="135">
        <v>0</v>
      </c>
      <c r="N344" s="135">
        <v>0</v>
      </c>
      <c r="O344" s="135">
        <v>0</v>
      </c>
      <c r="P344" s="134">
        <v>0</v>
      </c>
      <c r="Q344" s="135">
        <v>0</v>
      </c>
      <c r="R344" s="135">
        <v>0</v>
      </c>
      <c r="S344" s="135">
        <v>0</v>
      </c>
      <c r="T344" s="136">
        <v>0</v>
      </c>
      <c r="U344" s="135">
        <v>6.4505640000000003E-2</v>
      </c>
      <c r="V344" s="135">
        <v>0.32952584699999998</v>
      </c>
      <c r="W344" s="135">
        <v>5.3055417560000002</v>
      </c>
      <c r="X344" s="135">
        <v>10.422500744000001</v>
      </c>
      <c r="Y344" s="136">
        <v>13.199504375</v>
      </c>
    </row>
    <row r="345" spans="1:25">
      <c r="A345" s="125" t="s">
        <v>50</v>
      </c>
      <c r="B345" t="s">
        <v>75</v>
      </c>
      <c r="C345" s="186" t="s">
        <v>160</v>
      </c>
      <c r="D345" t="s">
        <v>158</v>
      </c>
      <c r="E345" t="s">
        <v>376</v>
      </c>
      <c r="F345" s="134">
        <v>0.49120099599999995</v>
      </c>
      <c r="G345" s="135">
        <v>0.78823535</v>
      </c>
      <c r="H345" s="135">
        <v>0.96538822099999999</v>
      </c>
      <c r="I345" s="135">
        <v>1.1449770749999999</v>
      </c>
      <c r="J345" s="136">
        <v>1.210467682</v>
      </c>
      <c r="K345" s="135">
        <v>0</v>
      </c>
      <c r="L345" s="135">
        <v>0</v>
      </c>
      <c r="M345" s="135">
        <v>0</v>
      </c>
      <c r="N345" s="135">
        <v>0</v>
      </c>
      <c r="O345" s="135">
        <v>0</v>
      </c>
      <c r="P345" s="134">
        <v>0</v>
      </c>
      <c r="Q345" s="135">
        <v>0</v>
      </c>
      <c r="R345" s="135">
        <v>0</v>
      </c>
      <c r="S345" s="135">
        <v>0</v>
      </c>
      <c r="T345" s="136">
        <v>0</v>
      </c>
      <c r="U345" s="135">
        <v>9.4336469999999999E-3</v>
      </c>
      <c r="V345" s="135">
        <v>3.8083894E-2</v>
      </c>
      <c r="W345" s="135">
        <v>0.40105523599999998</v>
      </c>
      <c r="X345" s="135">
        <v>0.83748942699999995</v>
      </c>
      <c r="Y345" s="136">
        <v>0.98916705900000002</v>
      </c>
    </row>
    <row r="346" spans="1:25">
      <c r="A346" s="125" t="s">
        <v>50</v>
      </c>
      <c r="B346" t="s">
        <v>75</v>
      </c>
      <c r="C346" s="186" t="s">
        <v>227</v>
      </c>
      <c r="D346" t="s">
        <v>225</v>
      </c>
      <c r="E346" t="s">
        <v>376</v>
      </c>
      <c r="F346" s="134">
        <v>0.59165775000000009</v>
      </c>
      <c r="G346" s="135">
        <v>1.0200585510000002</v>
      </c>
      <c r="H346" s="135">
        <v>1.4222880849999999</v>
      </c>
      <c r="I346" s="135">
        <v>1.8828241879999998</v>
      </c>
      <c r="J346" s="136">
        <v>2.1567121309999999</v>
      </c>
      <c r="K346" s="135">
        <v>0</v>
      </c>
      <c r="L346" s="135">
        <v>0</v>
      </c>
      <c r="M346" s="135">
        <v>0</v>
      </c>
      <c r="N346" s="135">
        <v>0</v>
      </c>
      <c r="O346" s="135">
        <v>0</v>
      </c>
      <c r="P346" s="134">
        <v>0</v>
      </c>
      <c r="Q346" s="135">
        <v>1.78042E-4</v>
      </c>
      <c r="R346" s="135">
        <v>1.6966299999999999E-4</v>
      </c>
      <c r="S346" s="135">
        <v>1.8918E-4</v>
      </c>
      <c r="T346" s="136">
        <v>1.7979999999999998E-4</v>
      </c>
      <c r="U346" s="135">
        <v>0</v>
      </c>
      <c r="V346" s="135">
        <v>4.6076100000000002E-4</v>
      </c>
      <c r="W346" s="135">
        <v>0.36642448800000005</v>
      </c>
      <c r="X346" s="135">
        <v>0.67961941199999998</v>
      </c>
      <c r="Y346" s="136">
        <v>0.93551997100000006</v>
      </c>
    </row>
    <row r="347" spans="1:25">
      <c r="A347" s="125" t="s">
        <v>50</v>
      </c>
      <c r="B347" t="s">
        <v>75</v>
      </c>
      <c r="C347" s="186" t="s">
        <v>227</v>
      </c>
      <c r="D347" t="s">
        <v>228</v>
      </c>
      <c r="E347" t="s">
        <v>376</v>
      </c>
      <c r="F347" s="134">
        <v>4.3275209999999995E-2</v>
      </c>
      <c r="G347" s="135">
        <v>7.179437000000001E-2</v>
      </c>
      <c r="H347" s="135">
        <v>9.6198111999999988E-2</v>
      </c>
      <c r="I347" s="135">
        <v>0.12424632099999999</v>
      </c>
      <c r="J347" s="136">
        <v>0.146628489</v>
      </c>
      <c r="K347" s="135">
        <v>0</v>
      </c>
      <c r="L347" s="135">
        <v>0</v>
      </c>
      <c r="M347" s="135">
        <v>0</v>
      </c>
      <c r="N347" s="135">
        <v>0</v>
      </c>
      <c r="O347" s="135">
        <v>0</v>
      </c>
      <c r="P347" s="134">
        <v>0</v>
      </c>
      <c r="Q347" s="135">
        <v>2.5640000000000002E-5</v>
      </c>
      <c r="R347" s="135">
        <v>2.5640000000000002E-5</v>
      </c>
      <c r="S347" s="135">
        <v>3.2809999999999999E-5</v>
      </c>
      <c r="T347" s="136">
        <v>3.2564999999999997E-5</v>
      </c>
      <c r="U347" s="135">
        <v>0</v>
      </c>
      <c r="V347" s="135">
        <v>0</v>
      </c>
      <c r="W347" s="135">
        <v>0.336440089</v>
      </c>
      <c r="X347" s="135">
        <v>0.62271427099999999</v>
      </c>
      <c r="Y347" s="136">
        <v>0.85490467400000003</v>
      </c>
    </row>
    <row r="348" spans="1:25">
      <c r="A348" s="125" t="s">
        <v>50</v>
      </c>
      <c r="B348" t="s">
        <v>75</v>
      </c>
      <c r="C348" s="186" t="s">
        <v>227</v>
      </c>
      <c r="D348" t="s">
        <v>230</v>
      </c>
      <c r="E348" t="s">
        <v>376</v>
      </c>
      <c r="F348" s="134">
        <v>0.93653741999999984</v>
      </c>
      <c r="G348" s="135">
        <v>2.1187840989999995</v>
      </c>
      <c r="H348" s="135">
        <v>4.1099618870000008</v>
      </c>
      <c r="I348" s="135">
        <v>6.4601310589999983</v>
      </c>
      <c r="J348" s="136">
        <v>8.1120203810000007</v>
      </c>
      <c r="K348" s="135">
        <v>0</v>
      </c>
      <c r="L348" s="135">
        <v>0</v>
      </c>
      <c r="M348" s="135">
        <v>0</v>
      </c>
      <c r="N348" s="135">
        <v>0</v>
      </c>
      <c r="O348" s="135">
        <v>0</v>
      </c>
      <c r="P348" s="134">
        <v>0</v>
      </c>
      <c r="Q348" s="135">
        <v>9.3344999999999995E-5</v>
      </c>
      <c r="R348" s="135">
        <v>9.0099999999999995E-5</v>
      </c>
      <c r="S348" s="135">
        <v>1.184E-4</v>
      </c>
      <c r="T348" s="136">
        <v>1.1400000000000001E-4</v>
      </c>
      <c r="U348" s="135">
        <v>0</v>
      </c>
      <c r="V348" s="135">
        <v>2.3752220000000002E-3</v>
      </c>
      <c r="W348" s="135">
        <v>0.107544892</v>
      </c>
      <c r="X348" s="135">
        <v>0.194358209</v>
      </c>
      <c r="Y348" s="136">
        <v>0.26437702800000001</v>
      </c>
    </row>
    <row r="349" spans="1:25">
      <c r="A349" s="125" t="s">
        <v>50</v>
      </c>
      <c r="B349" t="s">
        <v>75</v>
      </c>
      <c r="C349" s="186" t="s">
        <v>227</v>
      </c>
      <c r="D349" t="s">
        <v>232</v>
      </c>
      <c r="E349" t="s">
        <v>376</v>
      </c>
      <c r="F349" s="134">
        <v>1.5163509350000002</v>
      </c>
      <c r="G349" s="135">
        <v>2.5129239400000003</v>
      </c>
      <c r="H349" s="135">
        <v>3.0104287709999999</v>
      </c>
      <c r="I349" s="135">
        <v>3.488965796</v>
      </c>
      <c r="J349" s="136">
        <v>3.7259720349999998</v>
      </c>
      <c r="K349" s="135">
        <v>0</v>
      </c>
      <c r="L349" s="135">
        <v>0</v>
      </c>
      <c r="M349" s="135">
        <v>0</v>
      </c>
      <c r="N349" s="135">
        <v>0</v>
      </c>
      <c r="O349" s="135">
        <v>0</v>
      </c>
      <c r="P349" s="134">
        <v>0</v>
      </c>
      <c r="Q349" s="135">
        <v>4.5580000000000001E-5</v>
      </c>
      <c r="R349" s="135">
        <v>4.3970000000000001E-5</v>
      </c>
      <c r="S349" s="135">
        <v>5.6900000000000001E-5</v>
      </c>
      <c r="T349" s="136">
        <v>5.4410000000000003E-5</v>
      </c>
      <c r="U349" s="135">
        <v>0</v>
      </c>
      <c r="V349" s="135">
        <v>0.30906356699999998</v>
      </c>
      <c r="W349" s="135">
        <v>0.68360886700000001</v>
      </c>
      <c r="X349" s="135">
        <v>1.0066042289999999</v>
      </c>
      <c r="Y349" s="136">
        <v>1.2797448609999997</v>
      </c>
    </row>
    <row r="350" spans="1:25">
      <c r="A350" s="125" t="s">
        <v>50</v>
      </c>
      <c r="B350" t="s">
        <v>75</v>
      </c>
      <c r="C350" s="186" t="s">
        <v>301</v>
      </c>
      <c r="D350" t="s">
        <v>299</v>
      </c>
      <c r="E350" t="s">
        <v>376</v>
      </c>
      <c r="F350" s="134">
        <v>1.3110876449999997</v>
      </c>
      <c r="G350" s="135">
        <v>3.5900166190000005</v>
      </c>
      <c r="H350" s="135">
        <v>6.0605476520000003</v>
      </c>
      <c r="I350" s="135">
        <v>9.0688011720000006</v>
      </c>
      <c r="J350" s="136">
        <v>11.440006202999998</v>
      </c>
      <c r="K350" s="135">
        <v>0</v>
      </c>
      <c r="L350" s="135">
        <v>0</v>
      </c>
      <c r="M350" s="135">
        <v>0</v>
      </c>
      <c r="N350" s="135">
        <v>0</v>
      </c>
      <c r="O350" s="135">
        <v>0</v>
      </c>
      <c r="P350" s="134">
        <v>0</v>
      </c>
      <c r="Q350" s="135">
        <v>0</v>
      </c>
      <c r="R350" s="135">
        <v>0</v>
      </c>
      <c r="S350" s="135">
        <v>0</v>
      </c>
      <c r="T350" s="136">
        <v>0</v>
      </c>
      <c r="U350" s="135">
        <v>4.1410755E-2</v>
      </c>
      <c r="V350" s="135">
        <v>0.146586934</v>
      </c>
      <c r="W350" s="135">
        <v>1.8661650470000002</v>
      </c>
      <c r="X350" s="135">
        <v>3.88712933</v>
      </c>
      <c r="Y350" s="136">
        <v>4.6385662860000005</v>
      </c>
    </row>
    <row r="351" spans="1:25">
      <c r="A351" s="125" t="s">
        <v>50</v>
      </c>
      <c r="B351" t="s">
        <v>75</v>
      </c>
      <c r="C351" s="186" t="s">
        <v>301</v>
      </c>
      <c r="D351" t="s">
        <v>302</v>
      </c>
      <c r="E351" t="s">
        <v>376</v>
      </c>
      <c r="F351" s="134">
        <v>1.6614154819999998</v>
      </c>
      <c r="G351" s="135">
        <v>3.4840082600000004</v>
      </c>
      <c r="H351" s="135">
        <v>6.1021997799999994</v>
      </c>
      <c r="I351" s="135">
        <v>9.9984497559999994</v>
      </c>
      <c r="J351" s="136">
        <v>13.125824896999996</v>
      </c>
      <c r="K351" s="135">
        <v>0</v>
      </c>
      <c r="L351" s="135">
        <v>0</v>
      </c>
      <c r="M351" s="135">
        <v>0</v>
      </c>
      <c r="N351" s="135">
        <v>0</v>
      </c>
      <c r="O351" s="135">
        <v>0</v>
      </c>
      <c r="P351" s="134">
        <v>0</v>
      </c>
      <c r="Q351" s="135">
        <v>0</v>
      </c>
      <c r="R351" s="135">
        <v>0</v>
      </c>
      <c r="S351" s="135">
        <v>0</v>
      </c>
      <c r="T351" s="136">
        <v>0</v>
      </c>
      <c r="U351" s="135">
        <v>4.2070234999999997E-2</v>
      </c>
      <c r="V351" s="135">
        <v>0.14887568200000001</v>
      </c>
      <c r="W351" s="135">
        <v>1.8818370710000001</v>
      </c>
      <c r="X351" s="135">
        <v>3.9213482210000001</v>
      </c>
      <c r="Y351" s="136">
        <v>4.6720409549999999</v>
      </c>
    </row>
    <row r="352" spans="1:25">
      <c r="A352" s="125" t="s">
        <v>50</v>
      </c>
      <c r="B352" t="s">
        <v>75</v>
      </c>
      <c r="C352" s="186" t="s">
        <v>301</v>
      </c>
      <c r="D352" t="s">
        <v>304</v>
      </c>
      <c r="E352" t="s">
        <v>376</v>
      </c>
      <c r="F352" s="134">
        <v>0.43146082199999997</v>
      </c>
      <c r="G352" s="135">
        <v>0.73537666499999987</v>
      </c>
      <c r="H352" s="135">
        <v>1.0862307290000002</v>
      </c>
      <c r="I352" s="135">
        <v>1.557407682</v>
      </c>
      <c r="J352" s="136">
        <v>1.9263037740000002</v>
      </c>
      <c r="K352" s="135">
        <v>0</v>
      </c>
      <c r="L352" s="135">
        <v>0</v>
      </c>
      <c r="M352" s="135">
        <v>0</v>
      </c>
      <c r="N352" s="135">
        <v>0</v>
      </c>
      <c r="O352" s="135">
        <v>0</v>
      </c>
      <c r="P352" s="134">
        <v>0</v>
      </c>
      <c r="Q352" s="135">
        <v>0</v>
      </c>
      <c r="R352" s="135">
        <v>0</v>
      </c>
      <c r="S352" s="135">
        <v>0</v>
      </c>
      <c r="T352" s="136">
        <v>0</v>
      </c>
      <c r="U352" s="135">
        <v>1.7419351E-2</v>
      </c>
      <c r="V352" s="135">
        <v>6.1341403000000003E-2</v>
      </c>
      <c r="W352" s="135">
        <v>1.8548781939999999</v>
      </c>
      <c r="X352" s="135">
        <v>3.6338594840000003</v>
      </c>
      <c r="Y352" s="136">
        <v>4.7190047740000001</v>
      </c>
    </row>
    <row r="353" spans="1:25">
      <c r="A353" s="125" t="s">
        <v>50</v>
      </c>
      <c r="B353" t="s">
        <v>75</v>
      </c>
      <c r="C353" s="186" t="s">
        <v>301</v>
      </c>
      <c r="D353" t="s">
        <v>306</v>
      </c>
      <c r="E353" t="s">
        <v>376</v>
      </c>
      <c r="F353" s="134">
        <v>1.36235576</v>
      </c>
      <c r="G353" s="135">
        <v>2.7374088129999996</v>
      </c>
      <c r="H353" s="135">
        <v>4.7379353589999997</v>
      </c>
      <c r="I353" s="135">
        <v>7.7382999079999992</v>
      </c>
      <c r="J353" s="136">
        <v>9.9951759300000003</v>
      </c>
      <c r="K353" s="135">
        <v>0</v>
      </c>
      <c r="L353" s="135">
        <v>0</v>
      </c>
      <c r="M353" s="135">
        <v>0</v>
      </c>
      <c r="N353" s="135">
        <v>0</v>
      </c>
      <c r="O353" s="135">
        <v>0</v>
      </c>
      <c r="P353" s="134">
        <v>0</v>
      </c>
      <c r="Q353" s="135">
        <v>0</v>
      </c>
      <c r="R353" s="135">
        <v>0</v>
      </c>
      <c r="S353" s="135">
        <v>0</v>
      </c>
      <c r="T353" s="136">
        <v>0</v>
      </c>
      <c r="U353" s="135">
        <v>0.11140653</v>
      </c>
      <c r="V353" s="135">
        <v>0.39350618500000001</v>
      </c>
      <c r="W353" s="135">
        <v>4.6340474700000005</v>
      </c>
      <c r="X353" s="135">
        <v>9.7370730259999991</v>
      </c>
      <c r="Y353" s="136">
        <v>11.481698683000001</v>
      </c>
    </row>
    <row r="354" spans="1:25">
      <c r="A354" s="125" t="s">
        <v>50</v>
      </c>
      <c r="B354" t="s">
        <v>75</v>
      </c>
      <c r="C354" s="186" t="s">
        <v>301</v>
      </c>
      <c r="D354" t="s">
        <v>308</v>
      </c>
      <c r="E354" t="s">
        <v>376</v>
      </c>
      <c r="F354" s="134">
        <v>3.2284243319999995</v>
      </c>
      <c r="G354" s="135">
        <v>6.5706952989999996</v>
      </c>
      <c r="H354" s="135">
        <v>11.563364617999998</v>
      </c>
      <c r="I354" s="135">
        <v>18.859197308999999</v>
      </c>
      <c r="J354" s="136">
        <v>24.103693159999999</v>
      </c>
      <c r="K354" s="135">
        <v>0</v>
      </c>
      <c r="L354" s="135">
        <v>0</v>
      </c>
      <c r="M354" s="135">
        <v>0</v>
      </c>
      <c r="N354" s="135">
        <v>0</v>
      </c>
      <c r="O354" s="135">
        <v>0</v>
      </c>
      <c r="P354" s="134">
        <v>0</v>
      </c>
      <c r="Q354" s="135">
        <v>0</v>
      </c>
      <c r="R354" s="135">
        <v>0</v>
      </c>
      <c r="S354" s="135">
        <v>0</v>
      </c>
      <c r="T354" s="136">
        <v>0</v>
      </c>
      <c r="U354" s="135">
        <v>6.2514095000000006E-2</v>
      </c>
      <c r="V354" s="135">
        <v>0.22072271299999999</v>
      </c>
      <c r="W354" s="135">
        <v>4.5939127079999995</v>
      </c>
      <c r="X354" s="135">
        <v>9.1467509309999997</v>
      </c>
      <c r="Y354" s="136">
        <v>11.489564034000001</v>
      </c>
    </row>
    <row r="355" spans="1:25">
      <c r="A355" s="125" t="s">
        <v>50</v>
      </c>
      <c r="B355" t="s">
        <v>75</v>
      </c>
      <c r="C355" s="186" t="s">
        <v>301</v>
      </c>
      <c r="D355" t="s">
        <v>310</v>
      </c>
      <c r="E355" t="s">
        <v>376</v>
      </c>
      <c r="F355" s="134">
        <v>2.5511666909999997</v>
      </c>
      <c r="G355" s="135">
        <v>6.1083181670000002</v>
      </c>
      <c r="H355" s="135">
        <v>12.316454087999997</v>
      </c>
      <c r="I355" s="135">
        <v>21.703765175000001</v>
      </c>
      <c r="J355" s="136">
        <v>28.744809942000007</v>
      </c>
      <c r="K355" s="135">
        <v>0</v>
      </c>
      <c r="L355" s="135">
        <v>0</v>
      </c>
      <c r="M355" s="135">
        <v>0</v>
      </c>
      <c r="N355" s="135">
        <v>0</v>
      </c>
      <c r="O355" s="135">
        <v>0</v>
      </c>
      <c r="P355" s="134">
        <v>0</v>
      </c>
      <c r="Q355" s="135">
        <v>0</v>
      </c>
      <c r="R355" s="135">
        <v>0</v>
      </c>
      <c r="S355" s="135">
        <v>0</v>
      </c>
      <c r="T355" s="136">
        <v>0</v>
      </c>
      <c r="U355" s="135">
        <v>7.3270430999999997E-2</v>
      </c>
      <c r="V355" s="135">
        <v>0.74020634699999999</v>
      </c>
      <c r="W355" s="135">
        <v>4.4968890950000002</v>
      </c>
      <c r="X355" s="135">
        <v>8.6878421249999995</v>
      </c>
      <c r="Y355" s="136">
        <v>10.529564437000001</v>
      </c>
    </row>
    <row r="356" spans="1:25">
      <c r="A356" s="125" t="s">
        <v>50</v>
      </c>
      <c r="B356" t="s">
        <v>75</v>
      </c>
      <c r="C356" s="186" t="s">
        <v>301</v>
      </c>
      <c r="D356" t="s">
        <v>312</v>
      </c>
      <c r="E356" t="s">
        <v>376</v>
      </c>
      <c r="F356" s="134">
        <v>0.24451817200000003</v>
      </c>
      <c r="G356" s="135">
        <v>0.59302181999999992</v>
      </c>
      <c r="H356" s="135">
        <v>1.2124834810000003</v>
      </c>
      <c r="I356" s="135">
        <v>2.2264636750000002</v>
      </c>
      <c r="J356" s="136">
        <v>3.0455975350000002</v>
      </c>
      <c r="K356" s="135">
        <v>0</v>
      </c>
      <c r="L356" s="135">
        <v>0</v>
      </c>
      <c r="M356" s="135">
        <v>0</v>
      </c>
      <c r="N356" s="135">
        <v>0</v>
      </c>
      <c r="O356" s="135">
        <v>0</v>
      </c>
      <c r="P356" s="134">
        <v>0</v>
      </c>
      <c r="Q356" s="135">
        <v>0</v>
      </c>
      <c r="R356" s="135">
        <v>0</v>
      </c>
      <c r="S356" s="135">
        <v>0</v>
      </c>
      <c r="T356" s="136">
        <v>0</v>
      </c>
      <c r="U356" s="135">
        <v>6.2764240000000001E-3</v>
      </c>
      <c r="V356" s="135">
        <v>2.1741567999999999E-2</v>
      </c>
      <c r="W356" s="135">
        <v>0.98257213700000001</v>
      </c>
      <c r="X356" s="135">
        <v>1.8888230749999999</v>
      </c>
      <c r="Y356" s="136">
        <v>2.4920368960000001</v>
      </c>
    </row>
    <row r="357" spans="1:25">
      <c r="A357" s="125" t="s">
        <v>50</v>
      </c>
      <c r="B357" t="s">
        <v>75</v>
      </c>
      <c r="C357" s="186" t="s">
        <v>117</v>
      </c>
      <c r="D357" t="s">
        <v>161</v>
      </c>
      <c r="E357" t="s">
        <v>376</v>
      </c>
      <c r="F357" s="134">
        <v>6.6284735880000003</v>
      </c>
      <c r="G357" s="135">
        <v>13.974815707000001</v>
      </c>
      <c r="H357" s="135">
        <v>19.025614039000001</v>
      </c>
      <c r="I357" s="135">
        <v>25.021010243000003</v>
      </c>
      <c r="J357" s="136">
        <v>30.318021449</v>
      </c>
      <c r="K357" s="135">
        <v>0</v>
      </c>
      <c r="L357" s="135">
        <v>0</v>
      </c>
      <c r="M357" s="135">
        <v>0</v>
      </c>
      <c r="N357" s="135">
        <v>0</v>
      </c>
      <c r="O357" s="135">
        <v>0</v>
      </c>
      <c r="P357" s="134">
        <v>0</v>
      </c>
      <c r="Q357" s="135">
        <v>0</v>
      </c>
      <c r="R357" s="135">
        <v>0</v>
      </c>
      <c r="S357" s="135">
        <v>0</v>
      </c>
      <c r="T357" s="136">
        <v>0</v>
      </c>
      <c r="U357" s="135">
        <v>4.1440229000000002E-2</v>
      </c>
      <c r="V357" s="135">
        <v>0.21860307600000001</v>
      </c>
      <c r="W357" s="135">
        <v>1.9920802399999999</v>
      </c>
      <c r="X357" s="135">
        <v>4.0546389239999998</v>
      </c>
      <c r="Y357" s="136">
        <v>4.8388446160000003</v>
      </c>
    </row>
    <row r="358" spans="1:25">
      <c r="A358" s="125" t="s">
        <v>50</v>
      </c>
      <c r="B358" t="s">
        <v>75</v>
      </c>
      <c r="C358" s="186" t="s">
        <v>117</v>
      </c>
      <c r="D358" t="s">
        <v>163</v>
      </c>
      <c r="E358" t="s">
        <v>376</v>
      </c>
      <c r="F358" s="134">
        <v>5.8616729999999995E-3</v>
      </c>
      <c r="G358" s="135">
        <v>1.1564982E-2</v>
      </c>
      <c r="H358" s="135">
        <v>1.4400282E-2</v>
      </c>
      <c r="I358" s="135">
        <v>1.7482214999999999E-2</v>
      </c>
      <c r="J358" s="136">
        <v>2.0099543000000001E-2</v>
      </c>
      <c r="K358" s="135">
        <v>0</v>
      </c>
      <c r="L358" s="135">
        <v>0</v>
      </c>
      <c r="M358" s="135">
        <v>0</v>
      </c>
      <c r="N358" s="135">
        <v>0</v>
      </c>
      <c r="O358" s="135">
        <v>0</v>
      </c>
      <c r="P358" s="134">
        <v>0</v>
      </c>
      <c r="Q358" s="135">
        <v>0</v>
      </c>
      <c r="R358" s="135">
        <v>0</v>
      </c>
      <c r="S358" s="135">
        <v>0</v>
      </c>
      <c r="T358" s="136">
        <v>0</v>
      </c>
      <c r="U358" s="135">
        <v>0</v>
      </c>
      <c r="V358" s="135">
        <v>0</v>
      </c>
      <c r="W358" s="135">
        <v>2.9140999999999998E-4</v>
      </c>
      <c r="X358" s="135">
        <v>5.3856599999999998E-4</v>
      </c>
      <c r="Y358" s="136">
        <v>7.3798500000000003E-4</v>
      </c>
    </row>
    <row r="359" spans="1:25">
      <c r="A359" s="125" t="s">
        <v>50</v>
      </c>
      <c r="B359" t="s">
        <v>75</v>
      </c>
      <c r="C359" s="186" t="s">
        <v>119</v>
      </c>
      <c r="D359" t="s">
        <v>165</v>
      </c>
      <c r="E359" t="s">
        <v>376</v>
      </c>
      <c r="F359" s="134">
        <v>6.410503898</v>
      </c>
      <c r="G359" s="135">
        <v>12.307279343999999</v>
      </c>
      <c r="H359" s="135">
        <v>19.447411502000005</v>
      </c>
      <c r="I359" s="135">
        <v>28.314187695999998</v>
      </c>
      <c r="J359" s="136">
        <v>34.633439063999994</v>
      </c>
      <c r="K359" s="135">
        <v>0</v>
      </c>
      <c r="L359" s="135">
        <v>0</v>
      </c>
      <c r="M359" s="135">
        <v>0</v>
      </c>
      <c r="N359" s="135">
        <v>0</v>
      </c>
      <c r="O359" s="135">
        <v>0</v>
      </c>
      <c r="P359" s="134">
        <v>3.208752E-3</v>
      </c>
      <c r="Q359" s="135">
        <v>1.3153146000000001E-2</v>
      </c>
      <c r="R359" s="135">
        <v>1.5624586999999997E-2</v>
      </c>
      <c r="S359" s="135">
        <v>1.3599662E-2</v>
      </c>
      <c r="T359" s="136">
        <v>1.3341861000000002E-2</v>
      </c>
      <c r="U359" s="135">
        <v>3.1770703999999997E-2</v>
      </c>
      <c r="V359" s="135">
        <v>0.13174945999999998</v>
      </c>
      <c r="W359" s="135">
        <v>4.839738595</v>
      </c>
      <c r="X359" s="135">
        <v>9.2775567379999995</v>
      </c>
      <c r="Y359" s="136">
        <v>12.201215707000001</v>
      </c>
    </row>
    <row r="360" spans="1:25">
      <c r="A360" s="125" t="s">
        <v>50</v>
      </c>
      <c r="B360" t="s">
        <v>75</v>
      </c>
      <c r="C360" s="186" t="s">
        <v>119</v>
      </c>
      <c r="D360" t="s">
        <v>167</v>
      </c>
      <c r="E360" t="s">
        <v>376</v>
      </c>
      <c r="F360" s="134">
        <v>0.32706849999999998</v>
      </c>
      <c r="G360" s="135">
        <v>0.57450383199999999</v>
      </c>
      <c r="H360" s="135">
        <v>0.80790436399999999</v>
      </c>
      <c r="I360" s="135">
        <v>1.049256636</v>
      </c>
      <c r="J360" s="136">
        <v>1.145314537</v>
      </c>
      <c r="K360" s="135">
        <v>0</v>
      </c>
      <c r="L360" s="135">
        <v>0</v>
      </c>
      <c r="M360" s="135">
        <v>0</v>
      </c>
      <c r="N360" s="135">
        <v>0</v>
      </c>
      <c r="O360" s="135">
        <v>0</v>
      </c>
      <c r="P360" s="134">
        <v>4.1853700000000002E-4</v>
      </c>
      <c r="Q360" s="135">
        <v>1.65256E-3</v>
      </c>
      <c r="R360" s="135">
        <v>1.9165359999999999E-3</v>
      </c>
      <c r="S360" s="135">
        <v>1.5869730000000002E-3</v>
      </c>
      <c r="T360" s="136">
        <v>1.497172E-3</v>
      </c>
      <c r="U360" s="135">
        <v>5.0791663000000001E-2</v>
      </c>
      <c r="V360" s="135">
        <v>0.186199799</v>
      </c>
      <c r="W360" s="135">
        <v>2.1294579039999997</v>
      </c>
      <c r="X360" s="135">
        <v>4.4602553260000004</v>
      </c>
      <c r="Y360" s="136">
        <v>5.25800907</v>
      </c>
    </row>
    <row r="361" spans="1:25">
      <c r="A361" s="125" t="s">
        <v>50</v>
      </c>
      <c r="B361" t="s">
        <v>75</v>
      </c>
      <c r="C361" s="186" t="s">
        <v>119</v>
      </c>
      <c r="D361" t="s">
        <v>169</v>
      </c>
      <c r="E361" t="s">
        <v>376</v>
      </c>
      <c r="F361" s="134">
        <v>0.77050647600000011</v>
      </c>
      <c r="G361" s="135">
        <v>1.360598193</v>
      </c>
      <c r="H361" s="135">
        <v>1.862371013</v>
      </c>
      <c r="I361" s="135">
        <v>2.3700231299999999</v>
      </c>
      <c r="J361" s="136">
        <v>2.60801288</v>
      </c>
      <c r="K361" s="135">
        <v>0</v>
      </c>
      <c r="L361" s="135">
        <v>0</v>
      </c>
      <c r="M361" s="135">
        <v>0</v>
      </c>
      <c r="N361" s="135">
        <v>0</v>
      </c>
      <c r="O361" s="135">
        <v>0</v>
      </c>
      <c r="P361" s="134">
        <v>2.8001499999999999E-4</v>
      </c>
      <c r="Q361" s="135">
        <v>1.2048E-3</v>
      </c>
      <c r="R361" s="135">
        <v>1.4174540000000001E-3</v>
      </c>
      <c r="S361" s="135">
        <v>1.1806119999999999E-3</v>
      </c>
      <c r="T361" s="136">
        <v>1.103372E-3</v>
      </c>
      <c r="U361" s="135">
        <v>4.6697232999999998E-2</v>
      </c>
      <c r="V361" s="135">
        <v>0.20112335099999998</v>
      </c>
      <c r="W361" s="135">
        <v>2.009616303</v>
      </c>
      <c r="X361" s="135">
        <v>4.1687565649999998</v>
      </c>
      <c r="Y361" s="136">
        <v>4.9156118879999999</v>
      </c>
    </row>
    <row r="362" spans="1:25">
      <c r="A362" s="125" t="s">
        <v>50</v>
      </c>
      <c r="B362" t="s">
        <v>75</v>
      </c>
      <c r="C362" s="186" t="s">
        <v>119</v>
      </c>
      <c r="D362" t="s">
        <v>171</v>
      </c>
      <c r="E362" t="s">
        <v>376</v>
      </c>
      <c r="F362" s="134">
        <v>3.0493601469999994</v>
      </c>
      <c r="G362" s="135">
        <v>8.4715930010000022</v>
      </c>
      <c r="H362" s="135">
        <v>18.906660256999999</v>
      </c>
      <c r="I362" s="135">
        <v>35.603401058999992</v>
      </c>
      <c r="J362" s="136">
        <v>48.645223961999989</v>
      </c>
      <c r="K362" s="135">
        <v>0</v>
      </c>
      <c r="L362" s="135">
        <v>0</v>
      </c>
      <c r="M362" s="135">
        <v>0</v>
      </c>
      <c r="N362" s="135">
        <v>0</v>
      </c>
      <c r="O362" s="135">
        <v>0</v>
      </c>
      <c r="P362" s="134">
        <v>1.8568600000000001E-4</v>
      </c>
      <c r="Q362" s="135">
        <v>8.4185E-4</v>
      </c>
      <c r="R362" s="135">
        <v>1.0029239999999999E-3</v>
      </c>
      <c r="S362" s="135">
        <v>8.4396199999999986E-4</v>
      </c>
      <c r="T362" s="136">
        <v>7.89696E-4</v>
      </c>
      <c r="U362" s="135">
        <v>3.7834606E-2</v>
      </c>
      <c r="V362" s="135">
        <v>0.142323162</v>
      </c>
      <c r="W362" s="135">
        <v>1.601329118</v>
      </c>
      <c r="X362" s="135">
        <v>3.3474829100000001</v>
      </c>
      <c r="Y362" s="136">
        <v>3.9499510309999999</v>
      </c>
    </row>
    <row r="363" spans="1:25">
      <c r="A363" s="125" t="s">
        <v>50</v>
      </c>
      <c r="B363" t="s">
        <v>75</v>
      </c>
      <c r="C363" s="186" t="s">
        <v>119</v>
      </c>
      <c r="D363" t="s">
        <v>173</v>
      </c>
      <c r="E363" t="s">
        <v>376</v>
      </c>
      <c r="F363" s="134">
        <v>2.643307278</v>
      </c>
      <c r="G363" s="135">
        <v>5.4727360419999993</v>
      </c>
      <c r="H363" s="135">
        <v>7.853143792</v>
      </c>
      <c r="I363" s="135">
        <v>10.407106260999999</v>
      </c>
      <c r="J363" s="136">
        <v>11.286624711</v>
      </c>
      <c r="K363" s="135">
        <v>0</v>
      </c>
      <c r="L363" s="135">
        <v>0</v>
      </c>
      <c r="M363" s="135">
        <v>0</v>
      </c>
      <c r="N363" s="135">
        <v>0</v>
      </c>
      <c r="O363" s="135">
        <v>0</v>
      </c>
      <c r="P363" s="134">
        <v>3.9090199999999999E-4</v>
      </c>
      <c r="Q363" s="135">
        <v>1.7129179999999999E-3</v>
      </c>
      <c r="R363" s="135">
        <v>2.0404960000000001E-3</v>
      </c>
      <c r="S363" s="135">
        <v>1.7147100000000001E-3</v>
      </c>
      <c r="T363" s="136">
        <v>1.6120240000000001E-3</v>
      </c>
      <c r="U363" s="135">
        <v>6.1105481000000003E-2</v>
      </c>
      <c r="V363" s="135">
        <v>0.25360174200000002</v>
      </c>
      <c r="W363" s="135">
        <v>2.79728413</v>
      </c>
      <c r="X363" s="135">
        <v>5.7741783340000001</v>
      </c>
      <c r="Y363" s="136">
        <v>6.8740894460000002</v>
      </c>
    </row>
    <row r="364" spans="1:25">
      <c r="A364" s="125" t="s">
        <v>50</v>
      </c>
      <c r="B364" t="s">
        <v>75</v>
      </c>
      <c r="C364" s="186" t="s">
        <v>119</v>
      </c>
      <c r="D364" t="s">
        <v>175</v>
      </c>
      <c r="E364" t="s">
        <v>376</v>
      </c>
      <c r="F364" s="134">
        <v>2.6597766100000002</v>
      </c>
      <c r="G364" s="135">
        <v>5.5682008940000003</v>
      </c>
      <c r="H364" s="135">
        <v>9.5871842730000001</v>
      </c>
      <c r="I364" s="135">
        <v>14.317669501000001</v>
      </c>
      <c r="J364" s="136">
        <v>17.067950389</v>
      </c>
      <c r="K364" s="135">
        <v>0</v>
      </c>
      <c r="L364" s="135">
        <v>0</v>
      </c>
      <c r="M364" s="135">
        <v>0</v>
      </c>
      <c r="N364" s="135">
        <v>0</v>
      </c>
      <c r="O364" s="135">
        <v>0</v>
      </c>
      <c r="P364" s="134">
        <v>4.9708900000000004E-4</v>
      </c>
      <c r="Q364" s="135">
        <v>2.0668800000000001E-3</v>
      </c>
      <c r="R364" s="135">
        <v>2.4315340000000004E-3</v>
      </c>
      <c r="S364" s="135">
        <v>2.0242369999999999E-3</v>
      </c>
      <c r="T364" s="136">
        <v>1.903098E-3</v>
      </c>
      <c r="U364" s="135">
        <v>6.7584009E-2</v>
      </c>
      <c r="V364" s="135">
        <v>0.28825892800000003</v>
      </c>
      <c r="W364" s="135">
        <v>3.2398875629999999</v>
      </c>
      <c r="X364" s="135">
        <v>6.650862805</v>
      </c>
      <c r="Y364" s="136">
        <v>7.965497557</v>
      </c>
    </row>
    <row r="365" spans="1:25">
      <c r="A365" s="125" t="s">
        <v>50</v>
      </c>
      <c r="B365" t="s">
        <v>75</v>
      </c>
      <c r="C365" s="186" t="s">
        <v>119</v>
      </c>
      <c r="D365" t="s">
        <v>177</v>
      </c>
      <c r="E365" t="s">
        <v>376</v>
      </c>
      <c r="F365" s="134">
        <v>2.6810986949999998</v>
      </c>
      <c r="G365" s="135">
        <v>5.7881422899999988</v>
      </c>
      <c r="H365" s="135">
        <v>10.44670151</v>
      </c>
      <c r="I365" s="135">
        <v>17.545362984</v>
      </c>
      <c r="J365" s="136">
        <v>22.993798067999997</v>
      </c>
      <c r="K365" s="135">
        <v>0</v>
      </c>
      <c r="L365" s="135">
        <v>0</v>
      </c>
      <c r="M365" s="135">
        <v>0</v>
      </c>
      <c r="N365" s="135">
        <v>0</v>
      </c>
      <c r="O365" s="135">
        <v>0</v>
      </c>
      <c r="P365" s="134">
        <v>3.9937200000000005E-4</v>
      </c>
      <c r="Q365" s="135">
        <v>1.9532159999999998E-3</v>
      </c>
      <c r="R365" s="135">
        <v>2.4163479999999996E-3</v>
      </c>
      <c r="S365" s="135">
        <v>2.0927770000000001E-3</v>
      </c>
      <c r="T365" s="136">
        <v>1.9941939999999999E-3</v>
      </c>
      <c r="U365" s="135">
        <v>3.8715685999999999E-2</v>
      </c>
      <c r="V365" s="135">
        <v>0.154007533</v>
      </c>
      <c r="W365" s="135">
        <v>1.8667176900000002</v>
      </c>
      <c r="X365" s="135">
        <v>3.8425432819999998</v>
      </c>
      <c r="Y365" s="136">
        <v>4.6138754579999999</v>
      </c>
    </row>
    <row r="366" spans="1:25">
      <c r="A366" s="125" t="s">
        <v>50</v>
      </c>
      <c r="B366" t="s">
        <v>75</v>
      </c>
      <c r="C366" s="186" t="s">
        <v>119</v>
      </c>
      <c r="D366" t="s">
        <v>179</v>
      </c>
      <c r="E366" t="s">
        <v>376</v>
      </c>
      <c r="F366" s="134">
        <v>1.0834188630000001</v>
      </c>
      <c r="G366" s="135">
        <v>1.8545267099999998</v>
      </c>
      <c r="H366" s="135">
        <v>2.4321662380000002</v>
      </c>
      <c r="I366" s="135">
        <v>2.8909697460000006</v>
      </c>
      <c r="J366" s="136">
        <v>3.1801075029999999</v>
      </c>
      <c r="K366" s="135">
        <v>0</v>
      </c>
      <c r="L366" s="135">
        <v>0</v>
      </c>
      <c r="M366" s="135">
        <v>0</v>
      </c>
      <c r="N366" s="135">
        <v>0</v>
      </c>
      <c r="O366" s="135">
        <v>0</v>
      </c>
      <c r="P366" s="134">
        <v>3.5015800000000004E-4</v>
      </c>
      <c r="Q366" s="135">
        <v>1.517586E-3</v>
      </c>
      <c r="R366" s="135">
        <v>1.814757E-3</v>
      </c>
      <c r="S366" s="135">
        <v>1.5367879999999999E-3</v>
      </c>
      <c r="T366" s="136">
        <v>1.458062E-3</v>
      </c>
      <c r="U366" s="135">
        <v>2.5914110000000001E-3</v>
      </c>
      <c r="V366" s="135">
        <v>2.4003765E-2</v>
      </c>
      <c r="W366" s="135">
        <v>0.19981838299999999</v>
      </c>
      <c r="X366" s="135">
        <v>0.379760873</v>
      </c>
      <c r="Y366" s="136">
        <v>0.469253478</v>
      </c>
    </row>
    <row r="367" spans="1:25">
      <c r="A367" s="125" t="s">
        <v>50</v>
      </c>
      <c r="B367" t="s">
        <v>75</v>
      </c>
      <c r="C367" s="186" t="s">
        <v>119</v>
      </c>
      <c r="D367" t="s">
        <v>181</v>
      </c>
      <c r="E367" t="s">
        <v>376</v>
      </c>
      <c r="F367" s="134">
        <v>1.3797857849999999</v>
      </c>
      <c r="G367" s="135">
        <v>2.4425614549999999</v>
      </c>
      <c r="H367" s="135">
        <v>3.4309521599999999</v>
      </c>
      <c r="I367" s="135">
        <v>4.438105449</v>
      </c>
      <c r="J367" s="136">
        <v>4.8143002090000007</v>
      </c>
      <c r="K367" s="135">
        <v>0</v>
      </c>
      <c r="L367" s="135">
        <v>0</v>
      </c>
      <c r="M367" s="135">
        <v>0</v>
      </c>
      <c r="N367" s="135">
        <v>0</v>
      </c>
      <c r="O367" s="135">
        <v>0</v>
      </c>
      <c r="P367" s="134">
        <v>7.1385999999999997E-4</v>
      </c>
      <c r="Q367" s="135">
        <v>3.0435459999999998E-3</v>
      </c>
      <c r="R367" s="135">
        <v>3.6341949999999998E-3</v>
      </c>
      <c r="S367" s="135">
        <v>3.0642299999999998E-3</v>
      </c>
      <c r="T367" s="136">
        <v>2.9084530000000005E-3</v>
      </c>
      <c r="U367" s="135">
        <v>7.5928354000000003E-2</v>
      </c>
      <c r="V367" s="135">
        <v>0.29251612500000002</v>
      </c>
      <c r="W367" s="135">
        <v>3.5170037359999999</v>
      </c>
      <c r="X367" s="135">
        <v>7.2723386850000002</v>
      </c>
      <c r="Y367" s="136">
        <v>8.6853904110000002</v>
      </c>
    </row>
    <row r="368" spans="1:25">
      <c r="A368" s="125" t="s">
        <v>50</v>
      </c>
      <c r="B368" t="s">
        <v>75</v>
      </c>
      <c r="C368" s="186" t="s">
        <v>119</v>
      </c>
      <c r="D368" t="s">
        <v>183</v>
      </c>
      <c r="E368" t="s">
        <v>376</v>
      </c>
      <c r="F368" s="134">
        <v>1.1750783839999999</v>
      </c>
      <c r="G368" s="135">
        <v>2.0942805529999999</v>
      </c>
      <c r="H368" s="135">
        <v>3.0015714519999999</v>
      </c>
      <c r="I368" s="135">
        <v>3.9383928750000003</v>
      </c>
      <c r="J368" s="136">
        <v>4.2237851500000003</v>
      </c>
      <c r="K368" s="135">
        <v>0</v>
      </c>
      <c r="L368" s="135">
        <v>0</v>
      </c>
      <c r="M368" s="135">
        <v>0</v>
      </c>
      <c r="N368" s="135">
        <v>0</v>
      </c>
      <c r="O368" s="135">
        <v>0</v>
      </c>
      <c r="P368" s="134">
        <v>1.0359849999999999E-3</v>
      </c>
      <c r="Q368" s="135">
        <v>4.4817649999999995E-3</v>
      </c>
      <c r="R368" s="135">
        <v>5.378089E-3</v>
      </c>
      <c r="S368" s="135">
        <v>4.5687140000000006E-3</v>
      </c>
      <c r="T368" s="136">
        <v>4.3590349999999998E-3</v>
      </c>
      <c r="U368" s="135">
        <v>6.4370658999999997E-2</v>
      </c>
      <c r="V368" s="135">
        <v>0.24809853900000001</v>
      </c>
      <c r="W368" s="135">
        <v>3.133961658</v>
      </c>
      <c r="X368" s="135">
        <v>6.4516845630000006</v>
      </c>
      <c r="Y368" s="136">
        <v>7.7610161909999995</v>
      </c>
    </row>
    <row r="369" spans="1:25">
      <c r="A369" s="125" t="s">
        <v>50</v>
      </c>
      <c r="B369" t="s">
        <v>75</v>
      </c>
      <c r="C369" s="186" t="s">
        <v>119</v>
      </c>
      <c r="D369" t="s">
        <v>185</v>
      </c>
      <c r="E369" t="s">
        <v>376</v>
      </c>
      <c r="F369" s="134">
        <v>2.8297090489999999</v>
      </c>
      <c r="G369" s="135">
        <v>6.0171433499999996</v>
      </c>
      <c r="H369" s="135">
        <v>9.9090732169999995</v>
      </c>
      <c r="I369" s="135">
        <v>15.289208130000004</v>
      </c>
      <c r="J369" s="136">
        <v>18.532787548999998</v>
      </c>
      <c r="K369" s="135">
        <v>0</v>
      </c>
      <c r="L369" s="135">
        <v>0</v>
      </c>
      <c r="M369" s="135">
        <v>0</v>
      </c>
      <c r="N369" s="135">
        <v>0</v>
      </c>
      <c r="O369" s="135">
        <v>0</v>
      </c>
      <c r="P369" s="134">
        <v>1.334991E-3</v>
      </c>
      <c r="Q369" s="135">
        <v>6.338308E-3</v>
      </c>
      <c r="R369" s="135">
        <v>7.7896479999999997E-3</v>
      </c>
      <c r="S369" s="135">
        <v>6.7481959999999997E-3</v>
      </c>
      <c r="T369" s="136">
        <v>6.4612089999999999E-3</v>
      </c>
      <c r="U369" s="135">
        <v>8.8004331000000005E-2</v>
      </c>
      <c r="V369" s="135">
        <v>0.33091958499999996</v>
      </c>
      <c r="W369" s="135">
        <v>4.089429311</v>
      </c>
      <c r="X369" s="135">
        <v>8.4618265739999998</v>
      </c>
      <c r="Y369" s="136">
        <v>10.116140041</v>
      </c>
    </row>
    <row r="370" spans="1:25">
      <c r="A370" s="125" t="s">
        <v>50</v>
      </c>
      <c r="B370" t="s">
        <v>75</v>
      </c>
      <c r="C370" s="186" t="s">
        <v>119</v>
      </c>
      <c r="D370" t="s">
        <v>187</v>
      </c>
      <c r="E370" t="s">
        <v>376</v>
      </c>
      <c r="F370" s="134">
        <v>3.5707626340000003</v>
      </c>
      <c r="G370" s="135">
        <v>9.1697210109999983</v>
      </c>
      <c r="H370" s="135">
        <v>18.123664918999999</v>
      </c>
      <c r="I370" s="135">
        <v>32.207235354000005</v>
      </c>
      <c r="J370" s="136">
        <v>42.916359953000004</v>
      </c>
      <c r="K370" s="135">
        <v>0</v>
      </c>
      <c r="L370" s="135">
        <v>0</v>
      </c>
      <c r="M370" s="135">
        <v>0</v>
      </c>
      <c r="N370" s="135">
        <v>0</v>
      </c>
      <c r="O370" s="135">
        <v>0</v>
      </c>
      <c r="P370" s="134">
        <v>9.5141799999999999E-4</v>
      </c>
      <c r="Q370" s="135">
        <v>3.6168859999999997E-3</v>
      </c>
      <c r="R370" s="135">
        <v>4.2136889999999996E-3</v>
      </c>
      <c r="S370" s="135">
        <v>3.4925739999999996E-3</v>
      </c>
      <c r="T370" s="136">
        <v>3.331044E-3</v>
      </c>
      <c r="U370" s="135">
        <v>3.9493109999999998E-2</v>
      </c>
      <c r="V370" s="135">
        <v>0.143840683</v>
      </c>
      <c r="W370" s="135">
        <v>2.4327195009999998</v>
      </c>
      <c r="X370" s="135">
        <v>4.9109610510000001</v>
      </c>
      <c r="Y370" s="136">
        <v>6.0739001330000004</v>
      </c>
    </row>
    <row r="371" spans="1:25">
      <c r="A371" s="125" t="s">
        <v>50</v>
      </c>
      <c r="B371" t="s">
        <v>75</v>
      </c>
      <c r="C371" s="186" t="s">
        <v>119</v>
      </c>
      <c r="D371" t="s">
        <v>189</v>
      </c>
      <c r="E371" t="s">
        <v>376</v>
      </c>
      <c r="F371" s="134">
        <v>3.1575671E-2</v>
      </c>
      <c r="G371" s="135">
        <v>5.3662105000000002E-2</v>
      </c>
      <c r="H371" s="135">
        <v>6.9503907000000004E-2</v>
      </c>
      <c r="I371" s="135">
        <v>8.07657086E-2</v>
      </c>
      <c r="J371" s="136">
        <v>8.8108545099999991E-2</v>
      </c>
      <c r="K371" s="135">
        <v>0</v>
      </c>
      <c r="L371" s="135">
        <v>0</v>
      </c>
      <c r="M371" s="135">
        <v>0</v>
      </c>
      <c r="N371" s="135">
        <v>0</v>
      </c>
      <c r="O371" s="135">
        <v>0</v>
      </c>
      <c r="P371" s="134">
        <v>2.9300000000000001E-5</v>
      </c>
      <c r="Q371" s="135">
        <v>9.4025999999999997E-5</v>
      </c>
      <c r="R371" s="135">
        <v>1.0764900000000001E-4</v>
      </c>
      <c r="S371" s="135">
        <v>8.6919999999999988E-5</v>
      </c>
      <c r="T371" s="136">
        <v>8.4334999999999998E-5</v>
      </c>
      <c r="U371" s="135">
        <v>0</v>
      </c>
      <c r="V371" s="135">
        <v>7.8315100000000005E-4</v>
      </c>
      <c r="W371" s="135">
        <v>0.13654361600000001</v>
      </c>
      <c r="X371" s="135">
        <v>0.25244959500000003</v>
      </c>
      <c r="Y371" s="136">
        <v>0.34738269600000005</v>
      </c>
    </row>
    <row r="372" spans="1:25">
      <c r="A372" s="125" t="s">
        <v>50</v>
      </c>
      <c r="B372" t="s">
        <v>75</v>
      </c>
      <c r="C372" s="186" t="s">
        <v>119</v>
      </c>
      <c r="D372" t="s">
        <v>191</v>
      </c>
      <c r="E372" t="s">
        <v>376</v>
      </c>
      <c r="F372" s="134">
        <v>0.21431700400000001</v>
      </c>
      <c r="G372" s="135">
        <v>0.36703122099999996</v>
      </c>
      <c r="H372" s="135">
        <v>0.48052470199999997</v>
      </c>
      <c r="I372" s="135">
        <v>0.567992359</v>
      </c>
      <c r="J372" s="136">
        <v>0.62252852999999997</v>
      </c>
      <c r="K372" s="135">
        <v>0</v>
      </c>
      <c r="L372" s="135">
        <v>0</v>
      </c>
      <c r="M372" s="135">
        <v>0</v>
      </c>
      <c r="N372" s="135">
        <v>0</v>
      </c>
      <c r="O372" s="135">
        <v>0</v>
      </c>
      <c r="P372" s="134">
        <v>6.6530000000000002E-5</v>
      </c>
      <c r="Q372" s="135">
        <v>2.3863500000000001E-4</v>
      </c>
      <c r="R372" s="135">
        <v>2.8245000000000001E-4</v>
      </c>
      <c r="S372" s="135">
        <v>2.2821000000000004E-4</v>
      </c>
      <c r="T372" s="136">
        <v>2.1481500000000001E-4</v>
      </c>
      <c r="U372" s="135">
        <v>0</v>
      </c>
      <c r="V372" s="135">
        <v>0</v>
      </c>
      <c r="W372" s="135">
        <v>0.22551750400000001</v>
      </c>
      <c r="X372" s="135">
        <v>0.41984321499999999</v>
      </c>
      <c r="Y372" s="136">
        <v>0.57972207799999997</v>
      </c>
    </row>
    <row r="373" spans="1:25">
      <c r="A373" s="125" t="s">
        <v>50</v>
      </c>
      <c r="B373" t="s">
        <v>75</v>
      </c>
      <c r="C373" s="186" t="s">
        <v>361</v>
      </c>
      <c r="D373" t="s">
        <v>359</v>
      </c>
      <c r="E373" t="s">
        <v>376</v>
      </c>
      <c r="F373" s="134">
        <v>1.5210723359999998</v>
      </c>
      <c r="G373" s="135">
        <v>2.4301588360000004</v>
      </c>
      <c r="H373" s="135">
        <v>3.3033518160000002</v>
      </c>
      <c r="I373" s="135">
        <v>4.0928211120000002</v>
      </c>
      <c r="J373" s="136">
        <v>4.9127530150000007</v>
      </c>
      <c r="K373" s="135">
        <v>0</v>
      </c>
      <c r="L373" s="135">
        <v>0</v>
      </c>
      <c r="M373" s="135">
        <v>0</v>
      </c>
      <c r="N373" s="135">
        <v>0</v>
      </c>
      <c r="O373" s="135">
        <v>0</v>
      </c>
      <c r="P373" s="134">
        <v>2.2639900000000001E-4</v>
      </c>
      <c r="Q373" s="135">
        <v>3.71147E-4</v>
      </c>
      <c r="R373" s="135">
        <v>3.71147E-4</v>
      </c>
      <c r="S373" s="135">
        <v>4.5637299999999999E-4</v>
      </c>
      <c r="T373" s="136">
        <v>5.1041499999999996E-4</v>
      </c>
      <c r="U373" s="135">
        <v>2.3360837999999998E-2</v>
      </c>
      <c r="V373" s="135">
        <v>0.103222854</v>
      </c>
      <c r="W373" s="135">
        <v>1.0987548110000001</v>
      </c>
      <c r="X373" s="135">
        <v>2.2623196700000001</v>
      </c>
      <c r="Y373" s="136">
        <v>2.7056996010000001</v>
      </c>
    </row>
    <row r="374" spans="1:25">
      <c r="A374" s="125" t="s">
        <v>50</v>
      </c>
      <c r="B374" t="s">
        <v>75</v>
      </c>
      <c r="C374" s="186" t="s">
        <v>236</v>
      </c>
      <c r="D374" t="s">
        <v>234</v>
      </c>
      <c r="E374" t="s">
        <v>376</v>
      </c>
      <c r="F374" s="134">
        <v>1.7977015520000001</v>
      </c>
      <c r="G374" s="135">
        <v>4.1511468879999986</v>
      </c>
      <c r="H374" s="135">
        <v>8.2079832350000004</v>
      </c>
      <c r="I374" s="135">
        <v>15.068574709999998</v>
      </c>
      <c r="J374" s="136">
        <v>20.689561563000002</v>
      </c>
      <c r="K374" s="135">
        <v>0</v>
      </c>
      <c r="L374" s="135">
        <v>0</v>
      </c>
      <c r="M374" s="135">
        <v>0</v>
      </c>
      <c r="N374" s="135">
        <v>0</v>
      </c>
      <c r="O374" s="135">
        <v>2.3239999999999998E-5</v>
      </c>
      <c r="P374" s="134">
        <v>0</v>
      </c>
      <c r="Q374" s="135">
        <v>0</v>
      </c>
      <c r="R374" s="135">
        <v>0</v>
      </c>
      <c r="S374" s="135">
        <v>0</v>
      </c>
      <c r="T374" s="136">
        <v>0</v>
      </c>
      <c r="U374" s="135">
        <v>1.3080165E-2</v>
      </c>
      <c r="V374" s="135">
        <v>4.7206422000000005E-2</v>
      </c>
      <c r="W374" s="135">
        <v>0.54732521200000006</v>
      </c>
      <c r="X374" s="135">
        <v>1.147273566</v>
      </c>
      <c r="Y374" s="136">
        <v>1.352459176</v>
      </c>
    </row>
    <row r="375" spans="1:25">
      <c r="A375" s="125" t="s">
        <v>50</v>
      </c>
      <c r="B375" t="s">
        <v>75</v>
      </c>
      <c r="C375" s="186" t="s">
        <v>236</v>
      </c>
      <c r="D375" t="s">
        <v>237</v>
      </c>
      <c r="E375" t="s">
        <v>376</v>
      </c>
      <c r="F375" s="134">
        <v>2.041102559</v>
      </c>
      <c r="G375" s="135">
        <v>3.7621777020000007</v>
      </c>
      <c r="H375" s="135">
        <v>5.5744548860000007</v>
      </c>
      <c r="I375" s="135">
        <v>8.009750480000001</v>
      </c>
      <c r="J375" s="136">
        <v>9.6634289259999999</v>
      </c>
      <c r="K375" s="135">
        <v>0</v>
      </c>
      <c r="L375" s="135">
        <v>0</v>
      </c>
      <c r="M375" s="135">
        <v>0</v>
      </c>
      <c r="N375" s="135">
        <v>0</v>
      </c>
      <c r="O375" s="135">
        <v>2.1880000000000001E-5</v>
      </c>
      <c r="P375" s="134">
        <v>0</v>
      </c>
      <c r="Q375" s="135">
        <v>0</v>
      </c>
      <c r="R375" s="135">
        <v>0</v>
      </c>
      <c r="S375" s="135">
        <v>0</v>
      </c>
      <c r="T375" s="136">
        <v>0</v>
      </c>
      <c r="U375" s="135">
        <v>3.2485278999999999E-2</v>
      </c>
      <c r="V375" s="135">
        <v>0.121699974</v>
      </c>
      <c r="W375" s="135">
        <v>1.3632360739999998</v>
      </c>
      <c r="X375" s="135">
        <v>2.8478821320000001</v>
      </c>
      <c r="Y375" s="136">
        <v>3.3517985120000002</v>
      </c>
    </row>
    <row r="376" spans="1:25">
      <c r="A376" s="125" t="s">
        <v>50</v>
      </c>
      <c r="B376" t="s">
        <v>75</v>
      </c>
      <c r="C376" s="186" t="s">
        <v>236</v>
      </c>
      <c r="D376" t="s">
        <v>239</v>
      </c>
      <c r="E376" t="s">
        <v>376</v>
      </c>
      <c r="F376" s="134">
        <v>1.3741055679999998</v>
      </c>
      <c r="G376" s="135">
        <v>2.062455726</v>
      </c>
      <c r="H376" s="135">
        <v>2.4204672650000001</v>
      </c>
      <c r="I376" s="135">
        <v>2.8830118140000001</v>
      </c>
      <c r="J376" s="136">
        <v>3.2974597849999996</v>
      </c>
      <c r="K376" s="135">
        <v>0</v>
      </c>
      <c r="L376" s="135">
        <v>0</v>
      </c>
      <c r="M376" s="135">
        <v>0</v>
      </c>
      <c r="N376" s="135">
        <v>0</v>
      </c>
      <c r="O376" s="135">
        <v>2.9459999999999999E-5</v>
      </c>
      <c r="P376" s="134">
        <v>0</v>
      </c>
      <c r="Q376" s="135">
        <v>0</v>
      </c>
      <c r="R376" s="135">
        <v>0</v>
      </c>
      <c r="S376" s="135">
        <v>0</v>
      </c>
      <c r="T376" s="136">
        <v>0</v>
      </c>
      <c r="U376" s="135">
        <v>2.6246384000000001E-2</v>
      </c>
      <c r="V376" s="135">
        <v>0.10089867000000001</v>
      </c>
      <c r="W376" s="135">
        <v>1.1063444950000001</v>
      </c>
      <c r="X376" s="135">
        <v>2.3039534420000001</v>
      </c>
      <c r="Y376" s="136">
        <v>2.7084632319999997</v>
      </c>
    </row>
    <row r="377" spans="1:25">
      <c r="A377" s="125" t="s">
        <v>50</v>
      </c>
      <c r="B377" t="s">
        <v>75</v>
      </c>
      <c r="C377" s="186" t="s">
        <v>243</v>
      </c>
      <c r="D377" t="s">
        <v>241</v>
      </c>
      <c r="E377" t="s">
        <v>376</v>
      </c>
      <c r="F377" s="134">
        <v>1.7744008800000002</v>
      </c>
      <c r="G377" s="135">
        <v>2.9390877400000002</v>
      </c>
      <c r="H377" s="135">
        <v>3.7635031559999996</v>
      </c>
      <c r="I377" s="135">
        <v>4.4218276740000002</v>
      </c>
      <c r="J377" s="136">
        <v>4.8395017600000001</v>
      </c>
      <c r="K377" s="135">
        <v>0</v>
      </c>
      <c r="L377" s="135">
        <v>0</v>
      </c>
      <c r="M377" s="135">
        <v>2.6068400000000001E-4</v>
      </c>
      <c r="N377" s="135">
        <v>2.6068400000000001E-4</v>
      </c>
      <c r="O377" s="135">
        <v>2.6068400000000001E-4</v>
      </c>
      <c r="P377" s="134">
        <v>0</v>
      </c>
      <c r="Q377" s="135">
        <v>6.2699999999999993E-5</v>
      </c>
      <c r="R377" s="135">
        <v>2.0510800000000002E-4</v>
      </c>
      <c r="S377" s="135">
        <v>3.1501000000000001E-4</v>
      </c>
      <c r="T377" s="136">
        <v>4.6068499999999996E-4</v>
      </c>
      <c r="U377" s="135">
        <v>6.0838258999999999E-2</v>
      </c>
      <c r="V377" s="135">
        <v>0.24778338100000002</v>
      </c>
      <c r="W377" s="135">
        <v>2.6411444120000001</v>
      </c>
      <c r="X377" s="135">
        <v>5.5006752579999993</v>
      </c>
      <c r="Y377" s="136">
        <v>6.5155391590000002</v>
      </c>
    </row>
    <row r="378" spans="1:25">
      <c r="A378" s="125" t="s">
        <v>50</v>
      </c>
      <c r="B378" t="s">
        <v>75</v>
      </c>
      <c r="C378" s="186" t="s">
        <v>123</v>
      </c>
      <c r="D378" t="s">
        <v>244</v>
      </c>
      <c r="E378" t="s">
        <v>376</v>
      </c>
      <c r="F378" s="134">
        <v>7.039939704</v>
      </c>
      <c r="G378" s="135">
        <v>11.835469071</v>
      </c>
      <c r="H378" s="135">
        <v>16.998793423999999</v>
      </c>
      <c r="I378" s="135">
        <v>23.695216686000002</v>
      </c>
      <c r="J378" s="136">
        <v>28.871358373</v>
      </c>
      <c r="K378" s="135">
        <v>0</v>
      </c>
      <c r="L378" s="135">
        <v>0</v>
      </c>
      <c r="M378" s="135">
        <v>0</v>
      </c>
      <c r="N378" s="135">
        <v>0</v>
      </c>
      <c r="O378" s="135">
        <v>0</v>
      </c>
      <c r="P378" s="134">
        <v>3.9843980000000001E-3</v>
      </c>
      <c r="Q378" s="135">
        <v>5.2957750000000008E-3</v>
      </c>
      <c r="R378" s="135">
        <v>6.5282669999999991E-3</v>
      </c>
      <c r="S378" s="135">
        <v>5.5440309999999996E-3</v>
      </c>
      <c r="T378" s="136">
        <v>6.5467629999999997E-3</v>
      </c>
      <c r="U378" s="135">
        <v>9.3083679000000003E-2</v>
      </c>
      <c r="V378" s="135">
        <v>0.32766504299999999</v>
      </c>
      <c r="W378" s="135">
        <v>4.683678134</v>
      </c>
      <c r="X378" s="135">
        <v>9.6426389050000001</v>
      </c>
      <c r="Y378" s="136">
        <v>11.666242474000001</v>
      </c>
    </row>
    <row r="379" spans="1:25">
      <c r="A379" s="125" t="s">
        <v>50</v>
      </c>
      <c r="B379" t="s">
        <v>75</v>
      </c>
      <c r="C379" s="186" t="s">
        <v>123</v>
      </c>
      <c r="D379" t="s">
        <v>246</v>
      </c>
      <c r="E379" t="s">
        <v>376</v>
      </c>
      <c r="F379" s="134">
        <v>6.5410129560000012</v>
      </c>
      <c r="G379" s="135">
        <v>11.322595177</v>
      </c>
      <c r="H379" s="135">
        <v>15.803397167</v>
      </c>
      <c r="I379" s="135">
        <v>20.996133548</v>
      </c>
      <c r="J379" s="136">
        <v>25.160937401999998</v>
      </c>
      <c r="K379" s="135">
        <v>0</v>
      </c>
      <c r="L379" s="135">
        <v>0</v>
      </c>
      <c r="M379" s="135">
        <v>0</v>
      </c>
      <c r="N379" s="135">
        <v>0</v>
      </c>
      <c r="O379" s="135">
        <v>0</v>
      </c>
      <c r="P379" s="134">
        <v>9.0387900000000001E-4</v>
      </c>
      <c r="Q379" s="135">
        <v>1.2682139999999999E-3</v>
      </c>
      <c r="R379" s="135">
        <v>2.5658439999999999E-3</v>
      </c>
      <c r="S379" s="135">
        <v>2.4158230000000001E-3</v>
      </c>
      <c r="T379" s="136">
        <v>2.9770579999999999E-3</v>
      </c>
      <c r="U379" s="135">
        <v>6.7958503000000003E-2</v>
      </c>
      <c r="V379" s="135">
        <v>0.24027162500000002</v>
      </c>
      <c r="W379" s="135">
        <v>3.1695561140000001</v>
      </c>
      <c r="X379" s="135">
        <v>6.5768990880000002</v>
      </c>
      <c r="Y379" s="136">
        <v>7.8830320309999999</v>
      </c>
    </row>
    <row r="380" spans="1:25">
      <c r="A380" s="125" t="s">
        <v>50</v>
      </c>
      <c r="B380" t="s">
        <v>75</v>
      </c>
      <c r="C380" s="186" t="s">
        <v>123</v>
      </c>
      <c r="D380" t="s">
        <v>248</v>
      </c>
      <c r="E380" t="s">
        <v>376</v>
      </c>
      <c r="F380" s="134">
        <v>3.8205721619999999</v>
      </c>
      <c r="G380" s="135">
        <v>8.8532937209999982</v>
      </c>
      <c r="H380" s="135">
        <v>17.859757620999996</v>
      </c>
      <c r="I380" s="135">
        <v>32.799124951000003</v>
      </c>
      <c r="J380" s="136">
        <v>44.850653655999992</v>
      </c>
      <c r="K380" s="135">
        <v>0</v>
      </c>
      <c r="L380" s="135">
        <v>0</v>
      </c>
      <c r="M380" s="135">
        <v>0</v>
      </c>
      <c r="N380" s="135">
        <v>0</v>
      </c>
      <c r="O380" s="135">
        <v>0</v>
      </c>
      <c r="P380" s="134">
        <v>7.6062599999999992E-4</v>
      </c>
      <c r="Q380" s="135">
        <v>1.104746E-3</v>
      </c>
      <c r="R380" s="135">
        <v>1.3676109999999999E-3</v>
      </c>
      <c r="S380" s="135">
        <v>1.157216E-3</v>
      </c>
      <c r="T380" s="136">
        <v>1.634801E-3</v>
      </c>
      <c r="U380" s="135">
        <v>3.1568718000000003E-2</v>
      </c>
      <c r="V380" s="135">
        <v>0.115278353</v>
      </c>
      <c r="W380" s="135">
        <v>1.720155688</v>
      </c>
      <c r="X380" s="135">
        <v>3.5125935080000001</v>
      </c>
      <c r="Y380" s="136">
        <v>4.2910273960000005</v>
      </c>
    </row>
    <row r="381" spans="1:25">
      <c r="A381" s="125" t="s">
        <v>50</v>
      </c>
      <c r="B381" t="s">
        <v>75</v>
      </c>
      <c r="C381" s="186" t="s">
        <v>123</v>
      </c>
      <c r="D381" t="s">
        <v>250</v>
      </c>
      <c r="E381" t="s">
        <v>376</v>
      </c>
      <c r="F381" s="134">
        <v>5.8120477360000002</v>
      </c>
      <c r="G381" s="135">
        <v>9.7954279209999999</v>
      </c>
      <c r="H381" s="135">
        <v>14.970114428</v>
      </c>
      <c r="I381" s="135">
        <v>20.521330058999997</v>
      </c>
      <c r="J381" s="136">
        <v>25.077534548000003</v>
      </c>
      <c r="K381" s="135">
        <v>0</v>
      </c>
      <c r="L381" s="135">
        <v>0</v>
      </c>
      <c r="M381" s="135">
        <v>0</v>
      </c>
      <c r="N381" s="135">
        <v>0</v>
      </c>
      <c r="O381" s="135">
        <v>0</v>
      </c>
      <c r="P381" s="134">
        <v>1.8054619999999999E-3</v>
      </c>
      <c r="Q381" s="135">
        <v>2.5094309999999995E-3</v>
      </c>
      <c r="R381" s="135">
        <v>4.7798519999999994E-3</v>
      </c>
      <c r="S381" s="135">
        <v>4.444094E-3</v>
      </c>
      <c r="T381" s="136">
        <v>5.0667000000000004E-3</v>
      </c>
      <c r="U381" s="135">
        <v>7.4216618999999998E-2</v>
      </c>
      <c r="V381" s="135">
        <v>0.63087553100000004</v>
      </c>
      <c r="W381" s="135">
        <v>4.2096909609999997</v>
      </c>
      <c r="X381" s="135">
        <v>8.2621263220000003</v>
      </c>
      <c r="Y381" s="136">
        <v>9.969730363</v>
      </c>
    </row>
    <row r="382" spans="1:25">
      <c r="A382" s="125" t="s">
        <v>50</v>
      </c>
      <c r="B382" t="s">
        <v>75</v>
      </c>
      <c r="C382" s="186" t="s">
        <v>123</v>
      </c>
      <c r="D382" t="s">
        <v>252</v>
      </c>
      <c r="E382" t="s">
        <v>376</v>
      </c>
      <c r="F382" s="134">
        <v>4.6071482100000001</v>
      </c>
      <c r="G382" s="135">
        <v>7.2893612490000015</v>
      </c>
      <c r="H382" s="135">
        <v>9.7551359290000015</v>
      </c>
      <c r="I382" s="135">
        <v>12.667503462999997</v>
      </c>
      <c r="J382" s="136">
        <v>14.805580862999999</v>
      </c>
      <c r="K382" s="135">
        <v>0</v>
      </c>
      <c r="L382" s="135">
        <v>0</v>
      </c>
      <c r="M382" s="135">
        <v>0</v>
      </c>
      <c r="N382" s="135">
        <v>0</v>
      </c>
      <c r="O382" s="135">
        <v>0</v>
      </c>
      <c r="P382" s="134">
        <v>1.6262709999999999E-3</v>
      </c>
      <c r="Q382" s="135">
        <v>2.2056799999999998E-3</v>
      </c>
      <c r="R382" s="135">
        <v>3.5437489999999997E-3</v>
      </c>
      <c r="S382" s="135">
        <v>3.1943969999999999E-3</v>
      </c>
      <c r="T382" s="136">
        <v>3.7237220000000005E-3</v>
      </c>
      <c r="U382" s="135">
        <v>5.5025062999999999E-2</v>
      </c>
      <c r="V382" s="135">
        <v>0.44503667199999997</v>
      </c>
      <c r="W382" s="135">
        <v>3.6112553319999998</v>
      </c>
      <c r="X382" s="135">
        <v>7.0506933889999992</v>
      </c>
      <c r="Y382" s="136">
        <v>8.6686544839999993</v>
      </c>
    </row>
    <row r="383" spans="1:25">
      <c r="A383" s="125" t="s">
        <v>50</v>
      </c>
      <c r="B383" t="s">
        <v>75</v>
      </c>
      <c r="C383" s="186" t="s">
        <v>259</v>
      </c>
      <c r="D383" t="s">
        <v>257</v>
      </c>
      <c r="E383" t="s">
        <v>376</v>
      </c>
      <c r="F383" s="134">
        <v>1.3809233050000003</v>
      </c>
      <c r="G383" s="135">
        <v>3.4401528860000004</v>
      </c>
      <c r="H383" s="135">
        <v>6.720147697999999</v>
      </c>
      <c r="I383" s="135">
        <v>10.436281710000001</v>
      </c>
      <c r="J383" s="136">
        <v>13.874468263000001</v>
      </c>
      <c r="K383" s="135">
        <v>0</v>
      </c>
      <c r="L383" s="135">
        <v>0</v>
      </c>
      <c r="M383" s="135">
        <v>0</v>
      </c>
      <c r="N383" s="135">
        <v>0</v>
      </c>
      <c r="O383" s="135">
        <v>0</v>
      </c>
      <c r="P383" s="134">
        <v>0</v>
      </c>
      <c r="Q383" s="135">
        <v>0</v>
      </c>
      <c r="R383" s="135">
        <v>0</v>
      </c>
      <c r="S383" s="135">
        <v>0</v>
      </c>
      <c r="T383" s="136">
        <v>0</v>
      </c>
      <c r="U383" s="135">
        <v>2.8910910000000001E-2</v>
      </c>
      <c r="V383" s="135">
        <v>0.102834552</v>
      </c>
      <c r="W383" s="135">
        <v>1.3972454329999999</v>
      </c>
      <c r="X383" s="135">
        <v>2.8900398009999999</v>
      </c>
      <c r="Y383" s="136">
        <v>3.4808835769999997</v>
      </c>
    </row>
    <row r="384" spans="1:25">
      <c r="A384" s="125" t="s">
        <v>50</v>
      </c>
      <c r="B384" t="s">
        <v>75</v>
      </c>
      <c r="C384" s="186" t="s">
        <v>261</v>
      </c>
      <c r="D384" t="s">
        <v>260</v>
      </c>
      <c r="E384" t="s">
        <v>376</v>
      </c>
      <c r="F384" s="134">
        <v>0.35242740900000002</v>
      </c>
      <c r="G384" s="135">
        <v>0.53218695299999996</v>
      </c>
      <c r="H384" s="135">
        <v>0.66867516199999999</v>
      </c>
      <c r="I384" s="135">
        <v>1.1079472029999999</v>
      </c>
      <c r="J384" s="136">
        <v>1.2393069849999998</v>
      </c>
      <c r="K384" s="135">
        <v>0</v>
      </c>
      <c r="L384" s="135">
        <v>0</v>
      </c>
      <c r="M384" s="135">
        <v>0</v>
      </c>
      <c r="N384" s="135">
        <v>0</v>
      </c>
      <c r="O384" s="135">
        <v>0</v>
      </c>
      <c r="P384" s="134">
        <v>0</v>
      </c>
      <c r="Q384" s="135">
        <v>0</v>
      </c>
      <c r="R384" s="135">
        <v>0</v>
      </c>
      <c r="S384" s="135">
        <v>0</v>
      </c>
      <c r="T384" s="136">
        <v>0</v>
      </c>
      <c r="U384" s="135">
        <v>3.9455751999999997E-2</v>
      </c>
      <c r="V384" s="135">
        <v>0.136869772</v>
      </c>
      <c r="W384" s="135">
        <v>1.636131644</v>
      </c>
      <c r="X384" s="135">
        <v>3.4449395359999997</v>
      </c>
      <c r="Y384" s="136">
        <v>4.0650443960000002</v>
      </c>
    </row>
    <row r="385" spans="1:25">
      <c r="A385" s="125" t="s">
        <v>50</v>
      </c>
      <c r="B385" t="s">
        <v>75</v>
      </c>
      <c r="C385" s="186" t="s">
        <v>256</v>
      </c>
      <c r="D385" t="s">
        <v>254</v>
      </c>
      <c r="E385" t="s">
        <v>376</v>
      </c>
      <c r="F385" s="134">
        <v>1.3937390999999999</v>
      </c>
      <c r="G385" s="135">
        <v>2.2926858490000002</v>
      </c>
      <c r="H385" s="135">
        <v>3.1238256350000002</v>
      </c>
      <c r="I385" s="135">
        <v>3.9127593860000003</v>
      </c>
      <c r="J385" s="136">
        <v>4.4964713280000002</v>
      </c>
      <c r="K385" s="135">
        <v>0</v>
      </c>
      <c r="L385" s="135">
        <v>0</v>
      </c>
      <c r="M385" s="135">
        <v>0</v>
      </c>
      <c r="N385" s="135">
        <v>0</v>
      </c>
      <c r="O385" s="135">
        <v>0</v>
      </c>
      <c r="P385" s="134">
        <v>0</v>
      </c>
      <c r="Q385" s="135">
        <v>0</v>
      </c>
      <c r="R385" s="135">
        <v>0</v>
      </c>
      <c r="S385" s="135">
        <v>0</v>
      </c>
      <c r="T385" s="136">
        <v>0</v>
      </c>
      <c r="U385" s="135">
        <v>0</v>
      </c>
      <c r="V385" s="135">
        <v>2.5221969999999999E-3</v>
      </c>
      <c r="W385" s="135">
        <v>5.0852359999999999E-3</v>
      </c>
      <c r="X385" s="135">
        <v>7.3261200000000002E-3</v>
      </c>
      <c r="Y385" s="136">
        <v>9.2407490000000012E-3</v>
      </c>
    </row>
    <row r="386" spans="1:25">
      <c r="A386" s="125" t="s">
        <v>50</v>
      </c>
      <c r="B386" t="s">
        <v>75</v>
      </c>
      <c r="C386" s="186" t="s">
        <v>263</v>
      </c>
      <c r="D386" t="s">
        <v>262</v>
      </c>
      <c r="E386" t="s">
        <v>376</v>
      </c>
      <c r="F386" s="134">
        <v>1.9774549999999999E-3</v>
      </c>
      <c r="G386" s="135">
        <v>4.0422269999999998E-3</v>
      </c>
      <c r="H386" s="135">
        <v>9.873471E-3</v>
      </c>
      <c r="I386" s="135">
        <v>3.6044510000000002E-2</v>
      </c>
      <c r="J386" s="136">
        <v>5.1377402000000003E-2</v>
      </c>
      <c r="K386" s="135">
        <v>4.1701939999999997E-5</v>
      </c>
      <c r="L386" s="135">
        <v>7.7903889999999997E-5</v>
      </c>
      <c r="M386" s="135">
        <v>1.0632428E-4</v>
      </c>
      <c r="N386" s="135">
        <v>1.0632428E-4</v>
      </c>
      <c r="O386" s="135">
        <v>6.4703059999999998E-5</v>
      </c>
      <c r="P386" s="134">
        <v>0</v>
      </c>
      <c r="Q386" s="135">
        <v>1.0776199999999999E-4</v>
      </c>
      <c r="R386" s="135">
        <v>1.2564E-4</v>
      </c>
      <c r="S386" s="135">
        <v>1.4553999999999999E-4</v>
      </c>
      <c r="T386" s="136">
        <v>1.6478599999999999E-4</v>
      </c>
      <c r="U386" s="135">
        <v>0</v>
      </c>
      <c r="V386" s="135">
        <v>1.0887775000000001E-2</v>
      </c>
      <c r="W386" s="135">
        <v>2.0782864999999998E-2</v>
      </c>
      <c r="X386" s="135">
        <v>2.9457311999999999E-2</v>
      </c>
      <c r="Y386" s="136">
        <v>3.6908541000000003E-2</v>
      </c>
    </row>
    <row r="387" spans="1:25">
      <c r="A387" s="125" t="s">
        <v>50</v>
      </c>
      <c r="B387" t="s">
        <v>75</v>
      </c>
      <c r="C387" s="186" t="s">
        <v>125</v>
      </c>
      <c r="D387" t="s">
        <v>264</v>
      </c>
      <c r="E387" t="s">
        <v>376</v>
      </c>
      <c r="F387" s="134">
        <v>1.3820766949999999</v>
      </c>
      <c r="G387" s="135">
        <v>1.5144833800000002</v>
      </c>
      <c r="H387" s="135">
        <v>1.7716022069999999</v>
      </c>
      <c r="I387" s="135">
        <v>2.2568960440000003</v>
      </c>
      <c r="J387" s="136">
        <v>2.5635247000000003</v>
      </c>
      <c r="K387" s="135">
        <v>0</v>
      </c>
      <c r="L387" s="135">
        <v>0</v>
      </c>
      <c r="M387" s="135">
        <v>7.4799999999999995E-6</v>
      </c>
      <c r="N387" s="135">
        <v>2.1329999999999997E-5</v>
      </c>
      <c r="O387" s="135">
        <v>2.9189999999999997E-5</v>
      </c>
      <c r="P387" s="134">
        <v>0</v>
      </c>
      <c r="Q387" s="135">
        <v>7.9000000000000006E-6</v>
      </c>
      <c r="R387" s="135">
        <v>6.7630000000000001E-5</v>
      </c>
      <c r="S387" s="135">
        <v>6.3864999999999999E-5</v>
      </c>
      <c r="T387" s="136">
        <v>6.0350000000000003E-5</v>
      </c>
      <c r="U387" s="135">
        <v>2.3335966999999999E-2</v>
      </c>
      <c r="V387" s="135">
        <v>0.12122161000000001</v>
      </c>
      <c r="W387" s="135">
        <v>1.043438281</v>
      </c>
      <c r="X387" s="135">
        <v>2.1434414260000003</v>
      </c>
      <c r="Y387" s="136">
        <v>2.5359977359999997</v>
      </c>
    </row>
    <row r="388" spans="1:25">
      <c r="A388" s="125" t="s">
        <v>50</v>
      </c>
      <c r="B388" t="s">
        <v>75</v>
      </c>
      <c r="C388" s="186" t="s">
        <v>125</v>
      </c>
      <c r="D388" t="s">
        <v>266</v>
      </c>
      <c r="E388" t="s">
        <v>376</v>
      </c>
      <c r="F388" s="134">
        <v>2.8399941379999998</v>
      </c>
      <c r="G388" s="135">
        <v>3.4288790480000002</v>
      </c>
      <c r="H388" s="135">
        <v>4.2084146529999993</v>
      </c>
      <c r="I388" s="135">
        <v>5.3393725499999993</v>
      </c>
      <c r="J388" s="136">
        <v>6.0739812239999997</v>
      </c>
      <c r="K388" s="135">
        <v>0</v>
      </c>
      <c r="L388" s="135">
        <v>1.876E-5</v>
      </c>
      <c r="M388" s="135">
        <v>5.1929999999999999E-5</v>
      </c>
      <c r="N388" s="135">
        <v>5.5089999999999996E-5</v>
      </c>
      <c r="O388" s="135">
        <v>5.6849999999999999E-5</v>
      </c>
      <c r="P388" s="134">
        <v>0</v>
      </c>
      <c r="Q388" s="135">
        <v>2.3459999999999999E-5</v>
      </c>
      <c r="R388" s="135">
        <v>2.0330500000000001E-4</v>
      </c>
      <c r="S388" s="135">
        <v>1.9440800000000003E-4</v>
      </c>
      <c r="T388" s="136">
        <v>1.85914E-4</v>
      </c>
      <c r="U388" s="135">
        <v>3.3004447999999999E-2</v>
      </c>
      <c r="V388" s="135">
        <v>0.15109272899999998</v>
      </c>
      <c r="W388" s="135">
        <v>1.4367082879999999</v>
      </c>
      <c r="X388" s="135">
        <v>2.9754793820000001</v>
      </c>
      <c r="Y388" s="136">
        <v>3.5159847370000001</v>
      </c>
    </row>
    <row r="389" spans="1:25">
      <c r="A389" s="125" t="s">
        <v>50</v>
      </c>
      <c r="B389" t="s">
        <v>75</v>
      </c>
      <c r="C389" s="186" t="s">
        <v>125</v>
      </c>
      <c r="D389" t="s">
        <v>268</v>
      </c>
      <c r="E389" t="s">
        <v>376</v>
      </c>
      <c r="F389" s="134">
        <v>14.105279399</v>
      </c>
      <c r="G389" s="135">
        <v>31.643705906000001</v>
      </c>
      <c r="H389" s="135">
        <v>62.601259875000025</v>
      </c>
      <c r="I389" s="135">
        <v>110.79472836299999</v>
      </c>
      <c r="J389" s="136">
        <v>148.313268056</v>
      </c>
      <c r="K389" s="135">
        <v>0</v>
      </c>
      <c r="L389" s="135">
        <v>5.7396500000000007E-4</v>
      </c>
      <c r="M389" s="135">
        <v>1.088236E-3</v>
      </c>
      <c r="N389" s="135">
        <v>1.072635E-3</v>
      </c>
      <c r="O389" s="135">
        <v>1.0637839999999999E-3</v>
      </c>
      <c r="P389" s="134">
        <v>0</v>
      </c>
      <c r="Q389" s="135">
        <v>9.1399999999999999E-5</v>
      </c>
      <c r="R389" s="135">
        <v>1.1841450000000002E-3</v>
      </c>
      <c r="S389" s="135">
        <v>1.1373619999999998E-3</v>
      </c>
      <c r="T389" s="136">
        <v>1.0923880000000001E-3</v>
      </c>
      <c r="U389" s="135">
        <v>4.6925036000000003E-2</v>
      </c>
      <c r="V389" s="135">
        <v>0.22898459399999999</v>
      </c>
      <c r="W389" s="135">
        <v>2.220733788</v>
      </c>
      <c r="X389" s="135">
        <v>4.5490297789999996</v>
      </c>
      <c r="Y389" s="136">
        <v>5.4324213270000001</v>
      </c>
    </row>
    <row r="390" spans="1:25">
      <c r="A390" s="125" t="s">
        <v>50</v>
      </c>
      <c r="B390" t="s">
        <v>75</v>
      </c>
      <c r="C390" s="186" t="s">
        <v>125</v>
      </c>
      <c r="D390" t="s">
        <v>270</v>
      </c>
      <c r="E390" t="s">
        <v>376</v>
      </c>
      <c r="F390" s="134">
        <v>6.4575872889999992</v>
      </c>
      <c r="G390" s="135">
        <v>8.2854569720000004</v>
      </c>
      <c r="H390" s="135">
        <v>11.684056150000002</v>
      </c>
      <c r="I390" s="135">
        <v>17.347216060000001</v>
      </c>
      <c r="J390" s="136">
        <v>21.368124913999996</v>
      </c>
      <c r="K390" s="135">
        <v>0</v>
      </c>
      <c r="L390" s="135">
        <v>2.3560000000000001E-5</v>
      </c>
      <c r="M390" s="135">
        <v>6.224E-5</v>
      </c>
      <c r="N390" s="135">
        <v>6.0829999999999999E-5</v>
      </c>
      <c r="O390" s="135">
        <v>6.0019999999999998E-5</v>
      </c>
      <c r="P390" s="134">
        <v>0</v>
      </c>
      <c r="Q390" s="135">
        <v>2.7144999999999998E-5</v>
      </c>
      <c r="R390" s="135">
        <v>2.4150800000000001E-4</v>
      </c>
      <c r="S390" s="135">
        <v>2.3043700000000003E-4</v>
      </c>
      <c r="T390" s="136">
        <v>2.2002200000000003E-4</v>
      </c>
      <c r="U390" s="135">
        <v>3.6244149000000003E-2</v>
      </c>
      <c r="V390" s="135">
        <v>0.14402638100000001</v>
      </c>
      <c r="W390" s="135">
        <v>1.5516167320000001</v>
      </c>
      <c r="X390" s="135">
        <v>3.2383365190000002</v>
      </c>
      <c r="Y390" s="136">
        <v>3.8289126869999999</v>
      </c>
    </row>
    <row r="391" spans="1:25">
      <c r="A391" s="125" t="s">
        <v>50</v>
      </c>
      <c r="B391" t="s">
        <v>75</v>
      </c>
      <c r="C391" s="186" t="s">
        <v>129</v>
      </c>
      <c r="D391" t="s">
        <v>272</v>
      </c>
      <c r="E391" t="s">
        <v>376</v>
      </c>
      <c r="F391" s="134">
        <v>3.2883292909999997</v>
      </c>
      <c r="G391" s="135">
        <v>8.1341469279999998</v>
      </c>
      <c r="H391" s="135">
        <v>11.995792618999999</v>
      </c>
      <c r="I391" s="135">
        <v>15.372799810000002</v>
      </c>
      <c r="J391" s="136">
        <v>17.590093962000001</v>
      </c>
      <c r="K391" s="135">
        <v>2.4394199999999998E-4</v>
      </c>
      <c r="L391" s="135">
        <v>2.4394199999999998E-4</v>
      </c>
      <c r="M391" s="135">
        <v>2.1472E-4</v>
      </c>
      <c r="N391" s="135">
        <v>1.77973E-4</v>
      </c>
      <c r="O391" s="135">
        <v>1.63141E-4</v>
      </c>
      <c r="P391" s="134">
        <v>0</v>
      </c>
      <c r="Q391" s="135">
        <v>0</v>
      </c>
      <c r="R391" s="135">
        <v>0</v>
      </c>
      <c r="S391" s="135">
        <v>0</v>
      </c>
      <c r="T391" s="136">
        <v>0</v>
      </c>
      <c r="U391" s="135">
        <v>7.2675577000000005E-2</v>
      </c>
      <c r="V391" s="135">
        <v>0.25689115699999998</v>
      </c>
      <c r="W391" s="135">
        <v>3.0569391640000001</v>
      </c>
      <c r="X391" s="135">
        <v>6.4150695550000005</v>
      </c>
      <c r="Y391" s="136">
        <v>7.5774101839999997</v>
      </c>
    </row>
    <row r="392" spans="1:25">
      <c r="A392" s="125" t="s">
        <v>50</v>
      </c>
      <c r="B392" t="s">
        <v>75</v>
      </c>
      <c r="C392" s="186" t="s">
        <v>129</v>
      </c>
      <c r="D392" t="s">
        <v>274</v>
      </c>
      <c r="E392" t="s">
        <v>376</v>
      </c>
      <c r="F392" s="134">
        <v>2.9233384250000003</v>
      </c>
      <c r="G392" s="135">
        <v>5.7720949560000001</v>
      </c>
      <c r="H392" s="135">
        <v>9.6497961180000011</v>
      </c>
      <c r="I392" s="135">
        <v>13.972605484000001</v>
      </c>
      <c r="J392" s="136">
        <v>17.073216547999998</v>
      </c>
      <c r="K392" s="135">
        <v>3.0320500000000002E-4</v>
      </c>
      <c r="L392" s="135">
        <v>3.0320500000000002E-4</v>
      </c>
      <c r="M392" s="135">
        <v>2.80036E-4</v>
      </c>
      <c r="N392" s="135">
        <v>2.5078900000000001E-4</v>
      </c>
      <c r="O392" s="135">
        <v>2.3900899999999999E-4</v>
      </c>
      <c r="P392" s="134">
        <v>0</v>
      </c>
      <c r="Q392" s="135">
        <v>0</v>
      </c>
      <c r="R392" s="135">
        <v>0</v>
      </c>
      <c r="S392" s="135">
        <v>0</v>
      </c>
      <c r="T392" s="136">
        <v>0</v>
      </c>
      <c r="U392" s="135">
        <v>7.2452645999999996E-2</v>
      </c>
      <c r="V392" s="135">
        <v>0.25969477799999996</v>
      </c>
      <c r="W392" s="135">
        <v>3.0258850549999998</v>
      </c>
      <c r="X392" s="135">
        <v>6.3499070849999999</v>
      </c>
      <c r="Y392" s="136">
        <v>7.4886722850000007</v>
      </c>
    </row>
    <row r="393" spans="1:25">
      <c r="A393" s="125" t="s">
        <v>50</v>
      </c>
      <c r="B393" t="s">
        <v>75</v>
      </c>
      <c r="C393" s="186" t="s">
        <v>129</v>
      </c>
      <c r="D393" t="s">
        <v>276</v>
      </c>
      <c r="E393" t="s">
        <v>376</v>
      </c>
      <c r="F393" s="134">
        <v>1.324296648</v>
      </c>
      <c r="G393" s="135">
        <v>2.413590068</v>
      </c>
      <c r="H393" s="135">
        <v>3.514782936</v>
      </c>
      <c r="I393" s="135">
        <v>4.7285828319999998</v>
      </c>
      <c r="J393" s="136">
        <v>5.5963992300000012</v>
      </c>
      <c r="K393" s="135">
        <v>0</v>
      </c>
      <c r="L393" s="135">
        <v>0</v>
      </c>
      <c r="M393" s="135">
        <v>3.3899999999999997E-5</v>
      </c>
      <c r="N393" s="135">
        <v>7.6599999999999992E-5</v>
      </c>
      <c r="O393" s="135">
        <v>9.3700000000000001E-5</v>
      </c>
      <c r="P393" s="134">
        <v>0</v>
      </c>
      <c r="Q393" s="135">
        <v>0</v>
      </c>
      <c r="R393" s="135">
        <v>0</v>
      </c>
      <c r="S393" s="135">
        <v>0</v>
      </c>
      <c r="T393" s="136">
        <v>0</v>
      </c>
      <c r="U393" s="135">
        <v>6.9108676999999993E-2</v>
      </c>
      <c r="V393" s="135">
        <v>0.243598226</v>
      </c>
      <c r="W393" s="135">
        <v>2.8805367349999997</v>
      </c>
      <c r="X393" s="135">
        <v>6.0526710829999999</v>
      </c>
      <c r="Y393" s="136">
        <v>7.140791031</v>
      </c>
    </row>
    <row r="394" spans="1:25">
      <c r="A394" s="125" t="s">
        <v>50</v>
      </c>
      <c r="B394" t="s">
        <v>75</v>
      </c>
      <c r="C394" s="186" t="s">
        <v>129</v>
      </c>
      <c r="D394" t="s">
        <v>278</v>
      </c>
      <c r="E394" t="s">
        <v>376</v>
      </c>
      <c r="F394" s="134">
        <v>2.9486896699999998</v>
      </c>
      <c r="G394" s="135">
        <v>5.9893895200000005</v>
      </c>
      <c r="H394" s="135">
        <v>10.269183726999998</v>
      </c>
      <c r="I394" s="135">
        <v>15.522489353000005</v>
      </c>
      <c r="J394" s="136">
        <v>19.464536056</v>
      </c>
      <c r="K394" s="135">
        <v>1.9920399999999997E-4</v>
      </c>
      <c r="L394" s="135">
        <v>1.9920399999999997E-4</v>
      </c>
      <c r="M394" s="135">
        <v>1.7650200000000001E-4</v>
      </c>
      <c r="N394" s="135">
        <v>1.4790700000000002E-4</v>
      </c>
      <c r="O394" s="135">
        <v>1.3640000000000001E-4</v>
      </c>
      <c r="P394" s="134">
        <v>0</v>
      </c>
      <c r="Q394" s="135">
        <v>0</v>
      </c>
      <c r="R394" s="135">
        <v>0</v>
      </c>
      <c r="S394" s="135">
        <v>0</v>
      </c>
      <c r="T394" s="136">
        <v>0</v>
      </c>
      <c r="U394" s="135">
        <v>5.1497110999999998E-2</v>
      </c>
      <c r="V394" s="135">
        <v>0.185708123</v>
      </c>
      <c r="W394" s="135">
        <v>2.1640429979999998</v>
      </c>
      <c r="X394" s="135">
        <v>4.5357305649999997</v>
      </c>
      <c r="Y394" s="136">
        <v>5.352281101</v>
      </c>
    </row>
    <row r="395" spans="1:25">
      <c r="A395" s="125" t="s">
        <v>50</v>
      </c>
      <c r="B395" t="s">
        <v>75</v>
      </c>
      <c r="C395" s="186" t="s">
        <v>129</v>
      </c>
      <c r="D395" t="s">
        <v>280</v>
      </c>
      <c r="E395" t="s">
        <v>376</v>
      </c>
      <c r="F395" s="134">
        <v>1.5459631849999995</v>
      </c>
      <c r="G395" s="135">
        <v>2.8674530039999997</v>
      </c>
      <c r="H395" s="135">
        <v>4.2165400259999997</v>
      </c>
      <c r="I395" s="135">
        <v>5.786700741999999</v>
      </c>
      <c r="J395" s="136">
        <v>6.8643190450000002</v>
      </c>
      <c r="K395" s="135">
        <v>0</v>
      </c>
      <c r="L395" s="135">
        <v>0</v>
      </c>
      <c r="M395" s="135">
        <v>2.459E-5</v>
      </c>
      <c r="N395" s="135">
        <v>5.5500000000000001E-5</v>
      </c>
      <c r="O395" s="135">
        <v>6.7909999999999992E-5</v>
      </c>
      <c r="P395" s="134">
        <v>0</v>
      </c>
      <c r="Q395" s="135">
        <v>0</v>
      </c>
      <c r="R395" s="135">
        <v>0</v>
      </c>
      <c r="S395" s="135">
        <v>0</v>
      </c>
      <c r="T395" s="136">
        <v>0</v>
      </c>
      <c r="U395" s="135">
        <v>5.0382455E-2</v>
      </c>
      <c r="V395" s="135">
        <v>0.17758449099999998</v>
      </c>
      <c r="W395" s="135">
        <v>2.0935650990000001</v>
      </c>
      <c r="X395" s="135">
        <v>4.40057688</v>
      </c>
      <c r="Y395" s="136">
        <v>5.1892229079999996</v>
      </c>
    </row>
    <row r="396" spans="1:25">
      <c r="A396" s="125" t="s">
        <v>50</v>
      </c>
      <c r="B396" t="s">
        <v>75</v>
      </c>
      <c r="C396" s="186" t="s">
        <v>129</v>
      </c>
      <c r="D396" t="s">
        <v>282</v>
      </c>
      <c r="E396" t="s">
        <v>376</v>
      </c>
      <c r="F396" s="134">
        <v>2.7144362589999997</v>
      </c>
      <c r="G396" s="135">
        <v>6.2534965040000001</v>
      </c>
      <c r="H396" s="135">
        <v>12.437591471000001</v>
      </c>
      <c r="I396" s="135">
        <v>19.828111834000001</v>
      </c>
      <c r="J396" s="136">
        <v>25.253040789999996</v>
      </c>
      <c r="K396" s="135">
        <v>1.8996099999999999E-4</v>
      </c>
      <c r="L396" s="135">
        <v>1.8996099999999999E-4</v>
      </c>
      <c r="M396" s="135">
        <v>1.7464800000000001E-4</v>
      </c>
      <c r="N396" s="135">
        <v>1.5534199999999999E-4</v>
      </c>
      <c r="O396" s="135">
        <v>1.47572E-4</v>
      </c>
      <c r="P396" s="134">
        <v>0</v>
      </c>
      <c r="Q396" s="135">
        <v>0</v>
      </c>
      <c r="R396" s="135">
        <v>0</v>
      </c>
      <c r="S396" s="135">
        <v>0</v>
      </c>
      <c r="T396" s="136">
        <v>0</v>
      </c>
      <c r="U396" s="135">
        <v>3.4108475999999999E-2</v>
      </c>
      <c r="V396" s="135">
        <v>0.12288025300000001</v>
      </c>
      <c r="W396" s="135">
        <v>1.4238546990000001</v>
      </c>
      <c r="X396" s="135">
        <v>2.9855239979999997</v>
      </c>
      <c r="Y396" s="136">
        <v>3.5184807730000003</v>
      </c>
    </row>
    <row r="397" spans="1:25">
      <c r="A397" s="125" t="s">
        <v>50</v>
      </c>
      <c r="B397" t="s">
        <v>75</v>
      </c>
      <c r="C397" s="186" t="s">
        <v>129</v>
      </c>
      <c r="D397" t="s">
        <v>284</v>
      </c>
      <c r="E397" t="s">
        <v>376</v>
      </c>
      <c r="F397" s="134">
        <v>2.2777565489999998</v>
      </c>
      <c r="G397" s="135">
        <v>4.7540447870000007</v>
      </c>
      <c r="H397" s="135">
        <v>8.2768460140000002</v>
      </c>
      <c r="I397" s="135">
        <v>13.443588779999999</v>
      </c>
      <c r="J397" s="136">
        <v>17.501174075000002</v>
      </c>
      <c r="K397" s="135">
        <v>0</v>
      </c>
      <c r="L397" s="135">
        <v>0</v>
      </c>
      <c r="M397" s="135">
        <v>3.1999999999999999E-5</v>
      </c>
      <c r="N397" s="135">
        <v>7.2199999999999993E-5</v>
      </c>
      <c r="O397" s="135">
        <v>8.8415E-5</v>
      </c>
      <c r="P397" s="134">
        <v>0</v>
      </c>
      <c r="Q397" s="135">
        <v>0</v>
      </c>
      <c r="R397" s="135">
        <v>0</v>
      </c>
      <c r="S397" s="135">
        <v>0</v>
      </c>
      <c r="T397" s="136">
        <v>0</v>
      </c>
      <c r="U397" s="135">
        <v>1.4713459999999999E-2</v>
      </c>
      <c r="V397" s="135">
        <v>5.3880890000000001E-2</v>
      </c>
      <c r="W397" s="135">
        <v>0.67477630399999999</v>
      </c>
      <c r="X397" s="135">
        <v>1.3977248529999999</v>
      </c>
      <c r="Y397" s="136">
        <v>1.6669290649999999</v>
      </c>
    </row>
    <row r="398" spans="1:25">
      <c r="A398" s="125" t="s">
        <v>50</v>
      </c>
      <c r="B398" t="s">
        <v>75</v>
      </c>
      <c r="C398" s="186" t="s">
        <v>288</v>
      </c>
      <c r="D398" t="s">
        <v>286</v>
      </c>
      <c r="E398" t="s">
        <v>376</v>
      </c>
      <c r="F398" s="134">
        <v>4.6617384319999999</v>
      </c>
      <c r="G398" s="135">
        <v>7.8861123979999999</v>
      </c>
      <c r="H398" s="135">
        <v>11.047453204</v>
      </c>
      <c r="I398" s="135">
        <v>15.892189042000002</v>
      </c>
      <c r="J398" s="136">
        <v>19.726742188999999</v>
      </c>
      <c r="K398" s="135">
        <v>0</v>
      </c>
      <c r="L398" s="135">
        <v>0</v>
      </c>
      <c r="M398" s="135">
        <v>0</v>
      </c>
      <c r="N398" s="135">
        <v>7.4370000000000008E-5</v>
      </c>
      <c r="O398" s="135">
        <v>1.47942E-4</v>
      </c>
      <c r="P398" s="134">
        <v>0</v>
      </c>
      <c r="Q398" s="135">
        <v>5.8697199999999995E-4</v>
      </c>
      <c r="R398" s="135">
        <v>9.83259E-4</v>
      </c>
      <c r="S398" s="135">
        <v>1.2753719999999999E-3</v>
      </c>
      <c r="T398" s="136">
        <v>2.2323149999999999E-3</v>
      </c>
      <c r="U398" s="135">
        <v>7.3028108999999994E-2</v>
      </c>
      <c r="V398" s="135">
        <v>0.29880680399999998</v>
      </c>
      <c r="W398" s="135">
        <v>3.514619089</v>
      </c>
      <c r="X398" s="135">
        <v>7.2358731429999992</v>
      </c>
      <c r="Y398" s="136">
        <v>8.6882583419999992</v>
      </c>
    </row>
    <row r="399" spans="1:25">
      <c r="A399" s="125" t="s">
        <v>50</v>
      </c>
      <c r="B399" t="s">
        <v>75</v>
      </c>
      <c r="C399" s="186" t="s">
        <v>288</v>
      </c>
      <c r="D399" t="s">
        <v>289</v>
      </c>
      <c r="E399" t="s">
        <v>376</v>
      </c>
      <c r="F399" s="134">
        <v>1.3766263000000001E-2</v>
      </c>
      <c r="G399" s="135">
        <v>2.2690711000000002E-2</v>
      </c>
      <c r="H399" s="135">
        <v>2.9151042000000002E-2</v>
      </c>
      <c r="I399" s="135">
        <v>3.3866586000000004E-2</v>
      </c>
      <c r="J399" s="136">
        <v>3.6257462999999997E-2</v>
      </c>
      <c r="K399" s="135">
        <v>0</v>
      </c>
      <c r="L399" s="135">
        <v>0</v>
      </c>
      <c r="M399" s="135">
        <v>0</v>
      </c>
      <c r="N399" s="135">
        <v>0</v>
      </c>
      <c r="O399" s="135">
        <v>0</v>
      </c>
      <c r="P399" s="134">
        <v>0</v>
      </c>
      <c r="Q399" s="135">
        <v>3.1700000000000001E-6</v>
      </c>
      <c r="R399" s="135">
        <v>5.1258000000000001E-6</v>
      </c>
      <c r="S399" s="135">
        <v>2.0913399999999999E-5</v>
      </c>
      <c r="T399" s="136">
        <v>3.7231999999999999E-5</v>
      </c>
      <c r="U399" s="135">
        <v>0</v>
      </c>
      <c r="V399" s="135">
        <v>0</v>
      </c>
      <c r="W399" s="135">
        <v>2.1909336000000001E-2</v>
      </c>
      <c r="X399" s="135">
        <v>4.0623924999999998E-2</v>
      </c>
      <c r="Y399" s="136">
        <v>5.5858893E-2</v>
      </c>
    </row>
    <row r="400" spans="1:25">
      <c r="A400" s="125" t="s">
        <v>50</v>
      </c>
      <c r="B400" t="s">
        <v>75</v>
      </c>
      <c r="C400" s="186" t="s">
        <v>288</v>
      </c>
      <c r="D400" t="s">
        <v>291</v>
      </c>
      <c r="E400" t="s">
        <v>376</v>
      </c>
      <c r="F400" s="134">
        <v>8.0013540000000005E-3</v>
      </c>
      <c r="G400" s="135">
        <v>1.3272305E-2</v>
      </c>
      <c r="H400" s="135">
        <v>1.7102126000000002E-2</v>
      </c>
      <c r="I400" s="135">
        <v>2.0204130000000001E-2</v>
      </c>
      <c r="J400" s="136">
        <v>2.1837998000000001E-2</v>
      </c>
      <c r="K400" s="135">
        <v>0</v>
      </c>
      <c r="L400" s="135">
        <v>0</v>
      </c>
      <c r="M400" s="135">
        <v>0</v>
      </c>
      <c r="N400" s="135">
        <v>0</v>
      </c>
      <c r="O400" s="135">
        <v>0</v>
      </c>
      <c r="P400" s="134">
        <v>0</v>
      </c>
      <c r="Q400" s="135">
        <v>2.8950000000000002E-6</v>
      </c>
      <c r="R400" s="135">
        <v>5.1831999999999998E-6</v>
      </c>
      <c r="S400" s="135">
        <v>2.56038E-5</v>
      </c>
      <c r="T400" s="136">
        <v>4.5695999999999998E-5</v>
      </c>
      <c r="U400" s="135">
        <v>0</v>
      </c>
      <c r="V400" s="135">
        <v>0</v>
      </c>
      <c r="W400" s="135">
        <v>2.5791425999999999E-2</v>
      </c>
      <c r="X400" s="135">
        <v>4.7862565000000003E-2</v>
      </c>
      <c r="Y400" s="136">
        <v>6.5885920000000001E-2</v>
      </c>
    </row>
    <row r="401" spans="1:25">
      <c r="A401" s="125" t="s">
        <v>50</v>
      </c>
      <c r="B401" t="s">
        <v>75</v>
      </c>
      <c r="C401" s="186" t="s">
        <v>347</v>
      </c>
      <c r="D401" t="s">
        <v>345</v>
      </c>
      <c r="E401" t="s">
        <v>376</v>
      </c>
      <c r="F401" s="134">
        <v>1.4667305349999999</v>
      </c>
      <c r="G401" s="135">
        <v>2.2057765209999998</v>
      </c>
      <c r="H401" s="135">
        <v>2.5935800890000005</v>
      </c>
      <c r="I401" s="135">
        <v>3.0550685180000006</v>
      </c>
      <c r="J401" s="136">
        <v>3.2189577160000002</v>
      </c>
      <c r="K401" s="135">
        <v>0</v>
      </c>
      <c r="L401" s="135">
        <v>0</v>
      </c>
      <c r="M401" s="135">
        <v>0</v>
      </c>
      <c r="N401" s="135">
        <v>0</v>
      </c>
      <c r="O401" s="135">
        <v>0</v>
      </c>
      <c r="P401" s="134">
        <v>0</v>
      </c>
      <c r="Q401" s="135">
        <v>0</v>
      </c>
      <c r="R401" s="135">
        <v>0</v>
      </c>
      <c r="S401" s="135">
        <v>0</v>
      </c>
      <c r="T401" s="136">
        <v>0</v>
      </c>
      <c r="U401" s="135">
        <v>2.3814551999999999E-2</v>
      </c>
      <c r="V401" s="135">
        <v>8.9523921999999992E-2</v>
      </c>
      <c r="W401" s="135">
        <v>1.0081415890000001</v>
      </c>
      <c r="X401" s="135">
        <v>2.1022489970000002</v>
      </c>
      <c r="Y401" s="136">
        <v>2.4758246119999998</v>
      </c>
    </row>
    <row r="402" spans="1:25">
      <c r="A402" s="125" t="s">
        <v>50</v>
      </c>
      <c r="B402" t="s">
        <v>75</v>
      </c>
      <c r="C402" s="186" t="s">
        <v>347</v>
      </c>
      <c r="D402" t="s">
        <v>348</v>
      </c>
      <c r="E402" t="s">
        <v>376</v>
      </c>
      <c r="F402" s="134">
        <v>1.6742181989999998</v>
      </c>
      <c r="G402" s="135">
        <v>3.8076228259999998</v>
      </c>
      <c r="H402" s="135">
        <v>5.8135811390000001</v>
      </c>
      <c r="I402" s="135">
        <v>8.903855128</v>
      </c>
      <c r="J402" s="136">
        <v>12.469776180000004</v>
      </c>
      <c r="K402" s="135">
        <v>0</v>
      </c>
      <c r="L402" s="135">
        <v>0</v>
      </c>
      <c r="M402" s="135">
        <v>0</v>
      </c>
      <c r="N402" s="135">
        <v>0</v>
      </c>
      <c r="O402" s="135">
        <v>0</v>
      </c>
      <c r="P402" s="134">
        <v>0</v>
      </c>
      <c r="Q402" s="135">
        <v>0</v>
      </c>
      <c r="R402" s="135">
        <v>0</v>
      </c>
      <c r="S402" s="135">
        <v>0</v>
      </c>
      <c r="T402" s="136">
        <v>0</v>
      </c>
      <c r="U402" s="135">
        <v>8.9455679999999992E-3</v>
      </c>
      <c r="V402" s="135">
        <v>4.8369546999999999E-2</v>
      </c>
      <c r="W402" s="135">
        <v>0.40791277100000001</v>
      </c>
      <c r="X402" s="135">
        <v>0.82438892100000005</v>
      </c>
      <c r="Y402" s="136">
        <v>0.96749573899999997</v>
      </c>
    </row>
    <row r="403" spans="1:25">
      <c r="A403" s="125" t="s">
        <v>50</v>
      </c>
      <c r="B403" t="s">
        <v>75</v>
      </c>
      <c r="C403" s="186" t="s">
        <v>347</v>
      </c>
      <c r="D403" t="s">
        <v>350</v>
      </c>
      <c r="E403" t="s">
        <v>376</v>
      </c>
      <c r="F403" s="134">
        <v>2.1861314749999998</v>
      </c>
      <c r="G403" s="135">
        <v>4.2981561420000007</v>
      </c>
      <c r="H403" s="135">
        <v>7.362478351</v>
      </c>
      <c r="I403" s="135">
        <v>12.448685575000001</v>
      </c>
      <c r="J403" s="136">
        <v>16.417136054999997</v>
      </c>
      <c r="K403" s="135">
        <v>0</v>
      </c>
      <c r="L403" s="135">
        <v>0</v>
      </c>
      <c r="M403" s="135">
        <v>0</v>
      </c>
      <c r="N403" s="135">
        <v>0</v>
      </c>
      <c r="O403" s="135">
        <v>0</v>
      </c>
      <c r="P403" s="134">
        <v>0</v>
      </c>
      <c r="Q403" s="135">
        <v>0</v>
      </c>
      <c r="R403" s="135">
        <v>0</v>
      </c>
      <c r="S403" s="135">
        <v>0</v>
      </c>
      <c r="T403" s="136">
        <v>0</v>
      </c>
      <c r="U403" s="135">
        <v>4.1222143000000003E-2</v>
      </c>
      <c r="V403" s="135">
        <v>0.15249111300000001</v>
      </c>
      <c r="W403" s="135">
        <v>1.7570893699999999</v>
      </c>
      <c r="X403" s="135">
        <v>3.6747921400000001</v>
      </c>
      <c r="Y403" s="136">
        <v>4.3441945619999993</v>
      </c>
    </row>
    <row r="404" spans="1:25">
      <c r="A404" s="125" t="s">
        <v>50</v>
      </c>
      <c r="B404" t="s">
        <v>75</v>
      </c>
      <c r="C404" s="186" t="s">
        <v>347</v>
      </c>
      <c r="D404" t="s">
        <v>352</v>
      </c>
      <c r="E404" t="s">
        <v>376</v>
      </c>
      <c r="F404" s="134">
        <v>0.41060566999999998</v>
      </c>
      <c r="G404" s="135">
        <v>0.72210012299999993</v>
      </c>
      <c r="H404" s="135">
        <v>1.0210156210000001</v>
      </c>
      <c r="I404" s="135">
        <v>1.3367107379999998</v>
      </c>
      <c r="J404" s="136">
        <v>1.4887585410000002</v>
      </c>
      <c r="K404" s="135">
        <v>0</v>
      </c>
      <c r="L404" s="135">
        <v>0</v>
      </c>
      <c r="M404" s="135">
        <v>0</v>
      </c>
      <c r="N404" s="135">
        <v>0</v>
      </c>
      <c r="O404" s="135">
        <v>0</v>
      </c>
      <c r="P404" s="134">
        <v>0</v>
      </c>
      <c r="Q404" s="135">
        <v>0</v>
      </c>
      <c r="R404" s="135">
        <v>0</v>
      </c>
      <c r="S404" s="135">
        <v>0</v>
      </c>
      <c r="T404" s="136">
        <v>0</v>
      </c>
      <c r="U404" s="135">
        <v>2.5506956000000001E-2</v>
      </c>
      <c r="V404" s="135">
        <v>0.10039257600000001</v>
      </c>
      <c r="W404" s="135">
        <v>1.08403541</v>
      </c>
      <c r="X404" s="135">
        <v>2.2568025060000001</v>
      </c>
      <c r="Y404" s="136">
        <v>2.6581401820000004</v>
      </c>
    </row>
    <row r="405" spans="1:25">
      <c r="A405" s="125" t="s">
        <v>50</v>
      </c>
      <c r="B405" t="s">
        <v>75</v>
      </c>
      <c r="C405" s="186" t="s">
        <v>131</v>
      </c>
      <c r="D405" t="s">
        <v>314</v>
      </c>
      <c r="E405" t="s">
        <v>376</v>
      </c>
      <c r="F405" s="134">
        <v>1.4388349209999998</v>
      </c>
      <c r="G405" s="135">
        <v>2.5891703549999998</v>
      </c>
      <c r="H405" s="135">
        <v>3.4215831780000001</v>
      </c>
      <c r="I405" s="135">
        <v>4.6167539929999997</v>
      </c>
      <c r="J405" s="136">
        <v>5.7111895050000001</v>
      </c>
      <c r="K405" s="135">
        <v>0</v>
      </c>
      <c r="L405" s="135">
        <v>0</v>
      </c>
      <c r="M405" s="135">
        <v>0</v>
      </c>
      <c r="N405" s="135">
        <v>0</v>
      </c>
      <c r="O405" s="135">
        <v>0</v>
      </c>
      <c r="P405" s="134">
        <v>0</v>
      </c>
      <c r="Q405" s="135">
        <v>8.9500000000000007E-5</v>
      </c>
      <c r="R405" s="135">
        <v>8.9999999999999992E-5</v>
      </c>
      <c r="S405" s="135">
        <v>9.0400000000000002E-5</v>
      </c>
      <c r="T405" s="136">
        <v>9.0699999999999996E-5</v>
      </c>
      <c r="U405" s="135">
        <v>2.3717074000000001E-2</v>
      </c>
      <c r="V405" s="135">
        <v>0.105934612</v>
      </c>
      <c r="W405" s="135">
        <v>2.7979962669999998</v>
      </c>
      <c r="X405" s="135">
        <v>5.4147410960000002</v>
      </c>
      <c r="Y405" s="136">
        <v>7.0338808110000013</v>
      </c>
    </row>
    <row r="406" spans="1:25">
      <c r="A406" s="125" t="s">
        <v>50</v>
      </c>
      <c r="B406" t="s">
        <v>75</v>
      </c>
      <c r="C406" s="186" t="s">
        <v>131</v>
      </c>
      <c r="D406" t="s">
        <v>316</v>
      </c>
      <c r="E406" t="s">
        <v>376</v>
      </c>
      <c r="F406" s="134">
        <v>5.1718268230000009</v>
      </c>
      <c r="G406" s="135">
        <v>10.269137377</v>
      </c>
      <c r="H406" s="135">
        <v>17.531546232000004</v>
      </c>
      <c r="I406" s="135">
        <v>28.196362055999995</v>
      </c>
      <c r="J406" s="136">
        <v>36.564631769999991</v>
      </c>
      <c r="K406" s="135">
        <v>0</v>
      </c>
      <c r="L406" s="135">
        <v>0</v>
      </c>
      <c r="M406" s="135">
        <v>0</v>
      </c>
      <c r="N406" s="135">
        <v>0</v>
      </c>
      <c r="O406" s="135">
        <v>0</v>
      </c>
      <c r="P406" s="134">
        <v>0</v>
      </c>
      <c r="Q406" s="135">
        <v>7.6009999999999999E-5</v>
      </c>
      <c r="R406" s="135">
        <v>7.6130000000000005E-5</v>
      </c>
      <c r="S406" s="135">
        <v>7.6359999999999994E-5</v>
      </c>
      <c r="T406" s="136">
        <v>7.6500000000000003E-5</v>
      </c>
      <c r="U406" s="135">
        <v>2.9790958999999999E-2</v>
      </c>
      <c r="V406" s="135">
        <v>0.12497453</v>
      </c>
      <c r="W406" s="135">
        <v>1.8648959700000001</v>
      </c>
      <c r="X406" s="135">
        <v>3.746740162</v>
      </c>
      <c r="Y406" s="136">
        <v>4.6350766720000003</v>
      </c>
    </row>
    <row r="407" spans="1:25">
      <c r="A407" s="125" t="s">
        <v>50</v>
      </c>
      <c r="B407" t="s">
        <v>75</v>
      </c>
      <c r="C407" s="186" t="s">
        <v>131</v>
      </c>
      <c r="D407" t="s">
        <v>318</v>
      </c>
      <c r="E407" t="s">
        <v>376</v>
      </c>
      <c r="F407" s="134">
        <v>1.665038061</v>
      </c>
      <c r="G407" s="135">
        <v>2.8323201719999997</v>
      </c>
      <c r="H407" s="135">
        <v>3.4834073640000005</v>
      </c>
      <c r="I407" s="135">
        <v>4.6816292370000001</v>
      </c>
      <c r="J407" s="136">
        <v>6.03101588</v>
      </c>
      <c r="K407" s="135">
        <v>0</v>
      </c>
      <c r="L407" s="135">
        <v>0</v>
      </c>
      <c r="M407" s="135">
        <v>0</v>
      </c>
      <c r="N407" s="135">
        <v>0</v>
      </c>
      <c r="O407" s="135">
        <v>0</v>
      </c>
      <c r="P407" s="134">
        <v>0</v>
      </c>
      <c r="Q407" s="135">
        <v>3.6510000000000001E-5</v>
      </c>
      <c r="R407" s="135">
        <v>3.5840000000000002E-5</v>
      </c>
      <c r="S407" s="135">
        <v>3.5310000000000006E-5</v>
      </c>
      <c r="T407" s="136">
        <v>3.4910000000000003E-5</v>
      </c>
      <c r="U407" s="135">
        <v>2.5768000000000002E-3</v>
      </c>
      <c r="V407" s="135">
        <v>1.9636431000000003E-2</v>
      </c>
      <c r="W407" s="135">
        <v>0.32062636500000002</v>
      </c>
      <c r="X407" s="135">
        <v>0.60844551599999996</v>
      </c>
      <c r="Y407" s="136">
        <v>0.78674088399999997</v>
      </c>
    </row>
    <row r="408" spans="1:25">
      <c r="A408" s="125" t="s">
        <v>50</v>
      </c>
      <c r="B408" t="s">
        <v>75</v>
      </c>
      <c r="C408" s="186" t="s">
        <v>298</v>
      </c>
      <c r="D408" t="s">
        <v>296</v>
      </c>
      <c r="E408" t="s">
        <v>376</v>
      </c>
      <c r="F408" s="134">
        <v>1.871984404</v>
      </c>
      <c r="G408" s="135">
        <v>2.905384529</v>
      </c>
      <c r="H408" s="135">
        <v>3.5435892339999997</v>
      </c>
      <c r="I408" s="135">
        <v>4.1572762670000003</v>
      </c>
      <c r="J408" s="136">
        <v>4.4986287969999994</v>
      </c>
      <c r="K408" s="135">
        <v>0</v>
      </c>
      <c r="L408" s="135">
        <v>0</v>
      </c>
      <c r="M408" s="135">
        <v>0</v>
      </c>
      <c r="N408" s="135">
        <v>0</v>
      </c>
      <c r="O408" s="135">
        <v>0</v>
      </c>
      <c r="P408" s="134">
        <v>0</v>
      </c>
      <c r="Q408" s="135">
        <v>2.7190000000000002E-5</v>
      </c>
      <c r="R408" s="135">
        <v>2.7190000000000002E-5</v>
      </c>
      <c r="S408" s="135">
        <v>2.7190000000000002E-5</v>
      </c>
      <c r="T408" s="136">
        <v>2.7190000000000002E-5</v>
      </c>
      <c r="U408" s="135">
        <v>2.508165E-2</v>
      </c>
      <c r="V408" s="135">
        <v>8.6882972000000003E-2</v>
      </c>
      <c r="W408" s="135">
        <v>1.0920385349999999</v>
      </c>
      <c r="X408" s="135">
        <v>2.286390624</v>
      </c>
      <c r="Y408" s="136">
        <v>2.7168414149999998</v>
      </c>
    </row>
    <row r="409" spans="1:25">
      <c r="A409" s="125" t="s">
        <v>50</v>
      </c>
      <c r="B409" t="s">
        <v>75</v>
      </c>
      <c r="C409" s="186" t="s">
        <v>295</v>
      </c>
      <c r="D409" t="s">
        <v>293</v>
      </c>
      <c r="E409" t="s">
        <v>376</v>
      </c>
      <c r="F409" s="134">
        <v>4.1000971010000002</v>
      </c>
      <c r="G409" s="135">
        <v>8.8305930189999984</v>
      </c>
      <c r="H409" s="135">
        <v>13.818022892</v>
      </c>
      <c r="I409" s="135">
        <v>20.158406779</v>
      </c>
      <c r="J409" s="136">
        <v>23.880851122999996</v>
      </c>
      <c r="K409" s="135">
        <v>0</v>
      </c>
      <c r="L409" s="135">
        <v>0</v>
      </c>
      <c r="M409" s="135">
        <v>0</v>
      </c>
      <c r="N409" s="135">
        <v>0</v>
      </c>
      <c r="O409" s="135">
        <v>0</v>
      </c>
      <c r="P409" s="134">
        <v>0</v>
      </c>
      <c r="Q409" s="135">
        <v>0</v>
      </c>
      <c r="R409" s="135">
        <v>0</v>
      </c>
      <c r="S409" s="135">
        <v>0</v>
      </c>
      <c r="T409" s="136">
        <v>0</v>
      </c>
      <c r="U409" s="135">
        <v>3.8324838999999999E-2</v>
      </c>
      <c r="V409" s="135">
        <v>0.13350329999999999</v>
      </c>
      <c r="W409" s="135">
        <v>1.685044561</v>
      </c>
      <c r="X409" s="135">
        <v>3.5234158170000001</v>
      </c>
      <c r="Y409" s="136">
        <v>4.1920867260000003</v>
      </c>
    </row>
    <row r="410" spans="1:25">
      <c r="A410" s="125" t="s">
        <v>50</v>
      </c>
      <c r="B410" t="s">
        <v>75</v>
      </c>
      <c r="C410" s="186" t="s">
        <v>322</v>
      </c>
      <c r="D410" t="s">
        <v>320</v>
      </c>
      <c r="E410" t="s">
        <v>376</v>
      </c>
      <c r="F410" s="134">
        <v>2.081962844</v>
      </c>
      <c r="G410" s="135">
        <v>3.4559037149999998</v>
      </c>
      <c r="H410" s="135">
        <v>4.6093085280000015</v>
      </c>
      <c r="I410" s="135">
        <v>5.7864947550000005</v>
      </c>
      <c r="J410" s="136">
        <v>6.3965797319999993</v>
      </c>
      <c r="K410" s="135">
        <v>0</v>
      </c>
      <c r="L410" s="135">
        <v>0</v>
      </c>
      <c r="M410" s="135">
        <v>3.9649999999999995E-5</v>
      </c>
      <c r="N410" s="135">
        <v>1.5769699999999999E-4</v>
      </c>
      <c r="O410" s="135">
        <v>1.8728000000000001E-4</v>
      </c>
      <c r="P410" s="134">
        <v>0</v>
      </c>
      <c r="Q410" s="135">
        <v>0</v>
      </c>
      <c r="R410" s="135">
        <v>0</v>
      </c>
      <c r="S410" s="135">
        <v>0</v>
      </c>
      <c r="T410" s="136">
        <v>0</v>
      </c>
      <c r="U410" s="135">
        <v>3.6885960000000001E-3</v>
      </c>
      <c r="V410" s="135">
        <v>4.8640070999999993E-2</v>
      </c>
      <c r="W410" s="135">
        <v>0.24487494200000001</v>
      </c>
      <c r="X410" s="135">
        <v>0.45251572699999998</v>
      </c>
      <c r="Y410" s="136">
        <v>0.54063135699999998</v>
      </c>
    </row>
    <row r="411" spans="1:25">
      <c r="A411" s="125" t="s">
        <v>50</v>
      </c>
      <c r="B411" t="s">
        <v>75</v>
      </c>
      <c r="C411" s="186" t="s">
        <v>322</v>
      </c>
      <c r="D411" t="s">
        <v>323</v>
      </c>
      <c r="E411" t="s">
        <v>376</v>
      </c>
      <c r="F411" s="134">
        <v>5.180099953</v>
      </c>
      <c r="G411" s="135">
        <v>7.1664214929999996</v>
      </c>
      <c r="H411" s="135">
        <v>10.841930668</v>
      </c>
      <c r="I411" s="135">
        <v>16.293044051000003</v>
      </c>
      <c r="J411" s="136">
        <v>20.918364003000001</v>
      </c>
      <c r="K411" s="135">
        <v>0</v>
      </c>
      <c r="L411" s="135">
        <v>1.585773E-3</v>
      </c>
      <c r="M411" s="135">
        <v>1.6957510000000001E-3</v>
      </c>
      <c r="N411" s="135">
        <v>2.244715E-3</v>
      </c>
      <c r="O411" s="135">
        <v>2.2216930000000003E-3</v>
      </c>
      <c r="P411" s="134">
        <v>0</v>
      </c>
      <c r="Q411" s="135">
        <v>0</v>
      </c>
      <c r="R411" s="135">
        <v>0</v>
      </c>
      <c r="S411" s="135">
        <v>0</v>
      </c>
      <c r="T411" s="136">
        <v>0</v>
      </c>
      <c r="U411" s="135">
        <v>4.1719298000000002E-2</v>
      </c>
      <c r="V411" s="135">
        <v>0.21347383999999997</v>
      </c>
      <c r="W411" s="135">
        <v>2.0183834570000001</v>
      </c>
      <c r="X411" s="135">
        <v>4.1099350379999997</v>
      </c>
      <c r="Y411" s="136">
        <v>4.9113256189999994</v>
      </c>
    </row>
    <row r="412" spans="1:25">
      <c r="A412" s="125" t="s">
        <v>50</v>
      </c>
      <c r="B412" t="s">
        <v>75</v>
      </c>
      <c r="C412" s="186" t="s">
        <v>322</v>
      </c>
      <c r="D412" t="s">
        <v>325</v>
      </c>
      <c r="E412" t="s">
        <v>376</v>
      </c>
      <c r="F412" s="134">
        <v>5.7121574729999995</v>
      </c>
      <c r="G412" s="135">
        <v>11.095834536000002</v>
      </c>
      <c r="H412" s="135">
        <v>18.849283565</v>
      </c>
      <c r="I412" s="135">
        <v>29.468461525999999</v>
      </c>
      <c r="J412" s="136">
        <v>37.547264786000007</v>
      </c>
      <c r="K412" s="135">
        <v>0</v>
      </c>
      <c r="L412" s="135">
        <v>2.90878E-4</v>
      </c>
      <c r="M412" s="135">
        <v>2.23212E-4</v>
      </c>
      <c r="N412" s="135">
        <v>3.8300300000000003E-4</v>
      </c>
      <c r="O412" s="135">
        <v>3.6764799999999999E-4</v>
      </c>
      <c r="P412" s="134">
        <v>0</v>
      </c>
      <c r="Q412" s="135">
        <v>0</v>
      </c>
      <c r="R412" s="135">
        <v>0</v>
      </c>
      <c r="S412" s="135">
        <v>0</v>
      </c>
      <c r="T412" s="136">
        <v>0</v>
      </c>
      <c r="U412" s="135">
        <v>2.7664474000000001E-2</v>
      </c>
      <c r="V412" s="135">
        <v>0.26891668899999999</v>
      </c>
      <c r="W412" s="135">
        <v>1.4988974579999998</v>
      </c>
      <c r="X412" s="135">
        <v>2.9132908369999999</v>
      </c>
      <c r="Y412" s="136">
        <v>3.470724616</v>
      </c>
    </row>
    <row r="413" spans="1:25">
      <c r="A413" s="125" t="s">
        <v>50</v>
      </c>
      <c r="B413" t="s">
        <v>75</v>
      </c>
      <c r="C413" s="186" t="s">
        <v>322</v>
      </c>
      <c r="D413" t="s">
        <v>327</v>
      </c>
      <c r="E413" t="s">
        <v>376</v>
      </c>
      <c r="F413" s="134">
        <v>2.5381392479999998</v>
      </c>
      <c r="G413" s="135">
        <v>3.2995981130000001</v>
      </c>
      <c r="H413" s="135">
        <v>4.4523570440000011</v>
      </c>
      <c r="I413" s="135">
        <v>5.1253095830000008</v>
      </c>
      <c r="J413" s="136">
        <v>5.6951777049999999</v>
      </c>
      <c r="K413" s="135">
        <v>0</v>
      </c>
      <c r="L413" s="135">
        <v>0</v>
      </c>
      <c r="M413" s="135">
        <v>6.6320000000000002E-5</v>
      </c>
      <c r="N413" s="135">
        <v>2.6361400000000001E-4</v>
      </c>
      <c r="O413" s="135">
        <v>3.1309400000000004E-4</v>
      </c>
      <c r="P413" s="134">
        <v>0</v>
      </c>
      <c r="Q413" s="135">
        <v>0</v>
      </c>
      <c r="R413" s="135">
        <v>0</v>
      </c>
      <c r="S413" s="135">
        <v>0</v>
      </c>
      <c r="T413" s="136">
        <v>0</v>
      </c>
      <c r="U413" s="135">
        <v>1.2719298E-2</v>
      </c>
      <c r="V413" s="135">
        <v>0.114632083</v>
      </c>
      <c r="W413" s="135">
        <v>0.68330991800000007</v>
      </c>
      <c r="X413" s="135">
        <v>1.33067896</v>
      </c>
      <c r="Y413" s="136">
        <v>1.582906731</v>
      </c>
    </row>
    <row r="414" spans="1:25">
      <c r="A414" s="125" t="s">
        <v>50</v>
      </c>
      <c r="B414" t="s">
        <v>75</v>
      </c>
      <c r="C414" s="186" t="s">
        <v>322</v>
      </c>
      <c r="D414" t="s">
        <v>329</v>
      </c>
      <c r="E414" t="s">
        <v>376</v>
      </c>
      <c r="F414" s="134">
        <v>2.7083630900000006</v>
      </c>
      <c r="G414" s="135">
        <v>3.1462558409999999</v>
      </c>
      <c r="H414" s="135">
        <v>3.9113333849999998</v>
      </c>
      <c r="I414" s="135">
        <v>4.4481432239999998</v>
      </c>
      <c r="J414" s="136">
        <v>5.0609349600000009</v>
      </c>
      <c r="K414" s="135">
        <v>0</v>
      </c>
      <c r="L414" s="135">
        <v>3.42825E-4</v>
      </c>
      <c r="M414" s="135">
        <v>2.5155300000000001E-4</v>
      </c>
      <c r="N414" s="135">
        <v>4.0557899999999999E-4</v>
      </c>
      <c r="O414" s="135">
        <v>3.7895099999999998E-4</v>
      </c>
      <c r="P414" s="134">
        <v>0</v>
      </c>
      <c r="Q414" s="135">
        <v>0</v>
      </c>
      <c r="R414" s="135">
        <v>0</v>
      </c>
      <c r="S414" s="135">
        <v>0</v>
      </c>
      <c r="T414" s="136">
        <v>0</v>
      </c>
      <c r="U414" s="135">
        <v>2.8300438000000001E-2</v>
      </c>
      <c r="V414" s="135">
        <v>0.108872417</v>
      </c>
      <c r="W414" s="135">
        <v>1.251300053</v>
      </c>
      <c r="X414" s="135">
        <v>2.5961215549999999</v>
      </c>
      <c r="Y414" s="136">
        <v>3.077391489</v>
      </c>
    </row>
    <row r="415" spans="1:25">
      <c r="A415" s="125" t="s">
        <v>50</v>
      </c>
      <c r="B415" t="s">
        <v>75</v>
      </c>
      <c r="C415" s="186" t="s">
        <v>322</v>
      </c>
      <c r="D415" t="s">
        <v>331</v>
      </c>
      <c r="E415" t="s">
        <v>376</v>
      </c>
      <c r="F415" s="134">
        <v>1.8554925849999999</v>
      </c>
      <c r="G415" s="135">
        <v>2.237014018</v>
      </c>
      <c r="H415" s="135">
        <v>2.8425292049999999</v>
      </c>
      <c r="I415" s="135">
        <v>3.1175765769999999</v>
      </c>
      <c r="J415" s="136">
        <v>3.3907962239999998</v>
      </c>
      <c r="K415" s="135">
        <v>0</v>
      </c>
      <c r="L415" s="135">
        <v>3.1689799999999997E-4</v>
      </c>
      <c r="M415" s="135">
        <v>3.5179800000000001E-4</v>
      </c>
      <c r="N415" s="135">
        <v>8.1020000000000007E-4</v>
      </c>
      <c r="O415" s="135">
        <v>8.4622600000000005E-4</v>
      </c>
      <c r="P415" s="134">
        <v>0</v>
      </c>
      <c r="Q415" s="135">
        <v>0</v>
      </c>
      <c r="R415" s="135">
        <v>0</v>
      </c>
      <c r="S415" s="135">
        <v>0</v>
      </c>
      <c r="T415" s="136">
        <v>0</v>
      </c>
      <c r="U415" s="135">
        <v>1.6853070000000001E-2</v>
      </c>
      <c r="V415" s="135">
        <v>0.16769710600000001</v>
      </c>
      <c r="W415" s="135">
        <v>1.1329241940000001</v>
      </c>
      <c r="X415" s="135">
        <v>2.1752193179999999</v>
      </c>
      <c r="Y415" s="136">
        <v>2.66112796</v>
      </c>
    </row>
    <row r="416" spans="1:25">
      <c r="A416" s="125" t="s">
        <v>50</v>
      </c>
      <c r="B416" t="s">
        <v>75</v>
      </c>
      <c r="C416" s="186" t="s">
        <v>322</v>
      </c>
      <c r="D416" t="s">
        <v>333</v>
      </c>
      <c r="E416" t="s">
        <v>376</v>
      </c>
      <c r="F416" s="134">
        <v>1.1788242149999999</v>
      </c>
      <c r="G416" s="135">
        <v>1.5736180980000001</v>
      </c>
      <c r="H416" s="135">
        <v>2.1594407320000002</v>
      </c>
      <c r="I416" s="135">
        <v>2.329280663</v>
      </c>
      <c r="J416" s="136">
        <v>2.4089575600000002</v>
      </c>
      <c r="K416" s="135">
        <v>0</v>
      </c>
      <c r="L416" s="135">
        <v>0</v>
      </c>
      <c r="M416" s="135">
        <v>1.137E-4</v>
      </c>
      <c r="N416" s="135">
        <v>4.5230900000000002E-4</v>
      </c>
      <c r="O416" s="135">
        <v>5.3714300000000002E-4</v>
      </c>
      <c r="P416" s="134">
        <v>0</v>
      </c>
      <c r="Q416" s="135">
        <v>0</v>
      </c>
      <c r="R416" s="135">
        <v>0</v>
      </c>
      <c r="S416" s="135">
        <v>0</v>
      </c>
      <c r="T416" s="136">
        <v>0</v>
      </c>
      <c r="U416" s="135">
        <v>3.815789E-3</v>
      </c>
      <c r="V416" s="135">
        <v>6.5224673999999996E-2</v>
      </c>
      <c r="W416" s="135">
        <v>0.66402116300000003</v>
      </c>
      <c r="X416" s="135">
        <v>1.2176948919999999</v>
      </c>
      <c r="Y416" s="136">
        <v>1.5855276030000003</v>
      </c>
    </row>
    <row r="417" spans="1:25">
      <c r="A417" s="125" t="s">
        <v>50</v>
      </c>
      <c r="B417" t="s">
        <v>75</v>
      </c>
      <c r="C417" s="186" t="s">
        <v>322</v>
      </c>
      <c r="D417" t="s">
        <v>335</v>
      </c>
      <c r="E417" t="s">
        <v>376</v>
      </c>
      <c r="F417" s="134">
        <v>3.0949724820000002</v>
      </c>
      <c r="G417" s="135">
        <v>5.0874402340000016</v>
      </c>
      <c r="H417" s="135">
        <v>8.9129512880000004</v>
      </c>
      <c r="I417" s="135">
        <v>14.601850809000002</v>
      </c>
      <c r="J417" s="136">
        <v>19.335236752</v>
      </c>
      <c r="K417" s="135">
        <v>0</v>
      </c>
      <c r="L417" s="135">
        <v>2.9093180000000001E-3</v>
      </c>
      <c r="M417" s="135">
        <v>3.0028869999999997E-3</v>
      </c>
      <c r="N417" s="135">
        <v>3.8298500000000001E-3</v>
      </c>
      <c r="O417" s="135">
        <v>3.751721E-3</v>
      </c>
      <c r="P417" s="134">
        <v>0</v>
      </c>
      <c r="Q417" s="135">
        <v>0</v>
      </c>
      <c r="R417" s="135">
        <v>0</v>
      </c>
      <c r="S417" s="135">
        <v>0</v>
      </c>
      <c r="T417" s="136">
        <v>0</v>
      </c>
      <c r="U417" s="135">
        <v>4.1846491E-2</v>
      </c>
      <c r="V417" s="135">
        <v>0.23490164499999999</v>
      </c>
      <c r="W417" s="135">
        <v>2.1283736859999998</v>
      </c>
      <c r="X417" s="135">
        <v>4.2977283220000002</v>
      </c>
      <c r="Y417" s="136">
        <v>5.1604916439999995</v>
      </c>
    </row>
    <row r="418" spans="1:25">
      <c r="A418" s="125" t="s">
        <v>50</v>
      </c>
      <c r="B418" t="s">
        <v>75</v>
      </c>
      <c r="C418" s="186" t="s">
        <v>322</v>
      </c>
      <c r="D418" t="s">
        <v>337</v>
      </c>
      <c r="E418" t="s">
        <v>376</v>
      </c>
      <c r="F418" s="134">
        <v>1.6857113729999997</v>
      </c>
      <c r="G418" s="135">
        <v>2.1481370059999993</v>
      </c>
      <c r="H418" s="135">
        <v>2.934226217</v>
      </c>
      <c r="I418" s="135">
        <v>3.2844727439999999</v>
      </c>
      <c r="J418" s="136">
        <v>3.5966035179999998</v>
      </c>
      <c r="K418" s="135">
        <v>0</v>
      </c>
      <c r="L418" s="135">
        <v>3.1042500000000002E-4</v>
      </c>
      <c r="M418" s="135">
        <v>2.3389400000000001E-4</v>
      </c>
      <c r="N418" s="135">
        <v>3.91705E-4</v>
      </c>
      <c r="O418" s="135">
        <v>3.7218100000000002E-4</v>
      </c>
      <c r="P418" s="134">
        <v>0</v>
      </c>
      <c r="Q418" s="135">
        <v>0</v>
      </c>
      <c r="R418" s="135">
        <v>0</v>
      </c>
      <c r="S418" s="135">
        <v>0</v>
      </c>
      <c r="T418" s="136">
        <v>0</v>
      </c>
      <c r="U418" s="135">
        <v>2.0859649000000001E-2</v>
      </c>
      <c r="V418" s="135">
        <v>0.17996151599999999</v>
      </c>
      <c r="W418" s="135">
        <v>1.1173416279999999</v>
      </c>
      <c r="X418" s="135">
        <v>2.189384929</v>
      </c>
      <c r="Y418" s="136">
        <v>2.612805534</v>
      </c>
    </row>
    <row r="419" spans="1:25">
      <c r="A419" s="125" t="s">
        <v>50</v>
      </c>
      <c r="B419" t="s">
        <v>75</v>
      </c>
      <c r="C419" s="186" t="s">
        <v>322</v>
      </c>
      <c r="D419" t="s">
        <v>339</v>
      </c>
      <c r="E419" t="s">
        <v>376</v>
      </c>
      <c r="F419" s="134">
        <v>2.5302540069999995</v>
      </c>
      <c r="G419" s="135">
        <v>4.8159329989999993</v>
      </c>
      <c r="H419" s="135">
        <v>8.6860353280000009</v>
      </c>
      <c r="I419" s="135">
        <v>14.723164491999999</v>
      </c>
      <c r="J419" s="136">
        <v>19.620610975000005</v>
      </c>
      <c r="K419" s="135">
        <v>0</v>
      </c>
      <c r="L419" s="135">
        <v>2.6106600000000001E-4</v>
      </c>
      <c r="M419" s="135">
        <v>1.7597399999999999E-4</v>
      </c>
      <c r="N419" s="135">
        <v>2.47132E-4</v>
      </c>
      <c r="O419" s="135">
        <v>2.15243E-4</v>
      </c>
      <c r="P419" s="134">
        <v>0</v>
      </c>
      <c r="Q419" s="135">
        <v>0</v>
      </c>
      <c r="R419" s="135">
        <v>0</v>
      </c>
      <c r="S419" s="135">
        <v>0</v>
      </c>
      <c r="T419" s="136">
        <v>0</v>
      </c>
      <c r="U419" s="135">
        <v>9.0307019999999998E-3</v>
      </c>
      <c r="V419" s="135">
        <v>7.6231450000000006E-2</v>
      </c>
      <c r="W419" s="135">
        <v>0.46613224000000003</v>
      </c>
      <c r="X419" s="135">
        <v>0.90954279999999998</v>
      </c>
      <c r="Y419" s="136">
        <v>1.0741609560000001</v>
      </c>
    </row>
    <row r="420" spans="1:25">
      <c r="A420" s="125" t="s">
        <v>50</v>
      </c>
      <c r="B420" t="s">
        <v>75</v>
      </c>
      <c r="C420" s="186" t="s">
        <v>322</v>
      </c>
      <c r="D420" t="s">
        <v>341</v>
      </c>
      <c r="E420" t="s">
        <v>376</v>
      </c>
      <c r="F420" s="134">
        <v>2.5239701879999994</v>
      </c>
      <c r="G420" s="135">
        <v>4.5202154969999997</v>
      </c>
      <c r="H420" s="135">
        <v>8.1639724630000003</v>
      </c>
      <c r="I420" s="135">
        <v>13.53148071</v>
      </c>
      <c r="J420" s="136">
        <v>17.863012852000001</v>
      </c>
      <c r="K420" s="135">
        <v>0</v>
      </c>
      <c r="L420" s="135">
        <v>2.68433E-4</v>
      </c>
      <c r="M420" s="135">
        <v>2.17321E-4</v>
      </c>
      <c r="N420" s="135">
        <v>3.9860299999999998E-4</v>
      </c>
      <c r="O420" s="135">
        <v>4.3092800000000002E-4</v>
      </c>
      <c r="P420" s="134">
        <v>0</v>
      </c>
      <c r="Q420" s="135">
        <v>0</v>
      </c>
      <c r="R420" s="135">
        <v>0</v>
      </c>
      <c r="S420" s="135">
        <v>0</v>
      </c>
      <c r="T420" s="136">
        <v>0</v>
      </c>
      <c r="U420" s="135">
        <v>3.0271929999999999E-2</v>
      </c>
      <c r="V420" s="135">
        <v>0.28187356099999999</v>
      </c>
      <c r="W420" s="135">
        <v>1.719199712</v>
      </c>
      <c r="X420" s="135">
        <v>3.3351655319999995</v>
      </c>
      <c r="Y420" s="136">
        <v>3.9979134630000002</v>
      </c>
    </row>
    <row r="421" spans="1:25">
      <c r="A421" s="125" t="s">
        <v>50</v>
      </c>
      <c r="B421" t="s">
        <v>75</v>
      </c>
      <c r="C421" s="186" t="s">
        <v>322</v>
      </c>
      <c r="D421" t="s">
        <v>343</v>
      </c>
      <c r="E421" t="s">
        <v>376</v>
      </c>
      <c r="F421" s="134">
        <v>0.72026761299999997</v>
      </c>
      <c r="G421" s="135">
        <v>0.97228923299999992</v>
      </c>
      <c r="H421" s="135">
        <v>1.3594912610000001</v>
      </c>
      <c r="I421" s="135">
        <v>1.5502128070000001</v>
      </c>
      <c r="J421" s="136">
        <v>1.70179915</v>
      </c>
      <c r="K421" s="135">
        <v>0</v>
      </c>
      <c r="L421" s="135">
        <v>2.2218800000000001E-4</v>
      </c>
      <c r="M421" s="135">
        <v>1.35721E-4</v>
      </c>
      <c r="N421" s="135">
        <v>1.5422499999999999E-4</v>
      </c>
      <c r="O421" s="135">
        <v>1.165E-4</v>
      </c>
      <c r="P421" s="134">
        <v>0</v>
      </c>
      <c r="Q421" s="135">
        <v>0</v>
      </c>
      <c r="R421" s="135">
        <v>0</v>
      </c>
      <c r="S421" s="135">
        <v>0</v>
      </c>
      <c r="T421" s="136">
        <v>0</v>
      </c>
      <c r="U421" s="135">
        <v>7.3135960000000003E-3</v>
      </c>
      <c r="V421" s="135">
        <v>2.7261947000000002E-2</v>
      </c>
      <c r="W421" s="135">
        <v>0.34820156400000002</v>
      </c>
      <c r="X421" s="135">
        <v>0.71774075400000004</v>
      </c>
      <c r="Y421" s="136">
        <v>0.860019321</v>
      </c>
    </row>
    <row r="422" spans="1:25">
      <c r="A422" s="129" t="s">
        <v>52</v>
      </c>
      <c r="B422" s="130" t="s">
        <v>75</v>
      </c>
      <c r="C422" s="188" t="s">
        <v>101</v>
      </c>
      <c r="D422" s="130" t="s">
        <v>138</v>
      </c>
      <c r="E422" s="130" t="s">
        <v>376</v>
      </c>
      <c r="F422" s="131">
        <v>2.1985844449999998</v>
      </c>
      <c r="G422" s="132">
        <v>4.4852403660000002</v>
      </c>
      <c r="H422" s="132">
        <v>7.7892622649999996</v>
      </c>
      <c r="I422" s="132">
        <v>13.076531948000003</v>
      </c>
      <c r="J422" s="133">
        <v>17.220527892000003</v>
      </c>
      <c r="K422" s="132">
        <v>0</v>
      </c>
      <c r="L422" s="132">
        <v>3.1933369999999997E-3</v>
      </c>
      <c r="M422" s="132">
        <v>0.110568324</v>
      </c>
      <c r="N422" s="132">
        <v>0.18276456900000002</v>
      </c>
      <c r="O422" s="132">
        <v>0.17164521699999999</v>
      </c>
      <c r="P422" s="131">
        <v>0</v>
      </c>
      <c r="Q422" s="132">
        <v>1.052379E-3</v>
      </c>
      <c r="R422" s="132">
        <v>3.0677312000000005E-2</v>
      </c>
      <c r="S422" s="132">
        <v>3.1510848000000001E-2</v>
      </c>
      <c r="T422" s="133">
        <v>2.8554833999999998E-2</v>
      </c>
      <c r="U422" s="132">
        <v>3.0156187000000001E-2</v>
      </c>
      <c r="V422" s="132">
        <v>0.10905870100000001</v>
      </c>
      <c r="W422" s="132">
        <v>1.282148412</v>
      </c>
      <c r="X422" s="132">
        <v>2.6840389759999996</v>
      </c>
      <c r="Y422" s="133">
        <v>3.1730048130000004</v>
      </c>
    </row>
    <row r="423" spans="1:25">
      <c r="A423" s="125" t="s">
        <v>52</v>
      </c>
      <c r="B423" t="s">
        <v>75</v>
      </c>
      <c r="C423" s="186" t="s">
        <v>101</v>
      </c>
      <c r="D423" t="s">
        <v>140</v>
      </c>
      <c r="E423" t="s">
        <v>376</v>
      </c>
      <c r="F423" s="134">
        <v>1.7382709310000002</v>
      </c>
      <c r="G423" s="135">
        <v>3.1806845539999999</v>
      </c>
      <c r="H423" s="135">
        <v>4.1782116390000006</v>
      </c>
      <c r="I423" s="135">
        <v>5.2506825109999999</v>
      </c>
      <c r="J423" s="136">
        <v>5.9068681400000003</v>
      </c>
      <c r="K423" s="135">
        <v>0</v>
      </c>
      <c r="L423" s="135">
        <v>0</v>
      </c>
      <c r="M423" s="135">
        <v>1.8039227000000001E-2</v>
      </c>
      <c r="N423" s="135">
        <v>7.1647943999999991E-2</v>
      </c>
      <c r="O423" s="135">
        <v>8.4539017000000008E-2</v>
      </c>
      <c r="P423" s="134">
        <v>0</v>
      </c>
      <c r="Q423" s="135">
        <v>7.1158400000000002E-4</v>
      </c>
      <c r="R423" s="135">
        <v>1.7905924999999996E-2</v>
      </c>
      <c r="S423" s="135">
        <v>1.8054735999999998E-2</v>
      </c>
      <c r="T423" s="136">
        <v>1.6146214000000002E-2</v>
      </c>
      <c r="U423" s="135">
        <v>3.3305026000000001E-2</v>
      </c>
      <c r="V423" s="135">
        <v>0.11838206899999999</v>
      </c>
      <c r="W423" s="135">
        <v>1.3861619079999998</v>
      </c>
      <c r="X423" s="135">
        <v>2.9110135069999998</v>
      </c>
      <c r="Y423" s="136">
        <v>3.4319543370000001</v>
      </c>
    </row>
    <row r="424" spans="1:25">
      <c r="A424" s="125" t="s">
        <v>52</v>
      </c>
      <c r="B424" t="s">
        <v>75</v>
      </c>
      <c r="C424" s="186" t="s">
        <v>101</v>
      </c>
      <c r="D424" t="s">
        <v>142</v>
      </c>
      <c r="E424" t="s">
        <v>376</v>
      </c>
      <c r="F424" s="134">
        <v>3.126031765</v>
      </c>
      <c r="G424" s="135">
        <v>6.9697735490000001</v>
      </c>
      <c r="H424" s="135">
        <v>10.330232255</v>
      </c>
      <c r="I424" s="135">
        <v>13.841002086</v>
      </c>
      <c r="J424" s="136">
        <v>15.933249465999998</v>
      </c>
      <c r="K424" s="135">
        <v>0</v>
      </c>
      <c r="L424" s="135">
        <v>2.802269E-3</v>
      </c>
      <c r="M424" s="135">
        <v>9.5674771999999991E-2</v>
      </c>
      <c r="N424" s="135">
        <v>0.15798741399999999</v>
      </c>
      <c r="O424" s="135">
        <v>0.14726251999999998</v>
      </c>
      <c r="P424" s="134">
        <v>0</v>
      </c>
      <c r="Q424" s="135">
        <v>1.2198300000000001E-3</v>
      </c>
      <c r="R424" s="135">
        <v>3.2876469999999998E-2</v>
      </c>
      <c r="S424" s="135">
        <v>3.3434455000000002E-2</v>
      </c>
      <c r="T424" s="136">
        <v>3.0252189999999998E-2</v>
      </c>
      <c r="U424" s="135">
        <v>4.2085442000000001E-2</v>
      </c>
      <c r="V424" s="135">
        <v>0.14879747800000001</v>
      </c>
      <c r="W424" s="135">
        <v>1.7515325959999999</v>
      </c>
      <c r="X424" s="135">
        <v>3.6800422949999998</v>
      </c>
      <c r="Y424" s="136">
        <v>4.3399064449999996</v>
      </c>
    </row>
    <row r="425" spans="1:25">
      <c r="A425" s="125" t="s">
        <v>52</v>
      </c>
      <c r="B425" t="s">
        <v>75</v>
      </c>
      <c r="C425" s="186" t="s">
        <v>146</v>
      </c>
      <c r="D425" t="s">
        <v>144</v>
      </c>
      <c r="E425" t="s">
        <v>376</v>
      </c>
      <c r="F425" s="134">
        <v>0.14935765599999998</v>
      </c>
      <c r="G425" s="135">
        <v>0.240655328</v>
      </c>
      <c r="H425" s="135">
        <v>0.33107850999999999</v>
      </c>
      <c r="I425" s="135">
        <v>0.40788970700000005</v>
      </c>
      <c r="J425" s="136">
        <v>0.46911054800000002</v>
      </c>
      <c r="K425" s="135">
        <v>0</v>
      </c>
      <c r="L425" s="135">
        <v>0</v>
      </c>
      <c r="M425" s="135">
        <v>0.19383545900000002</v>
      </c>
      <c r="N425" s="135">
        <v>0.87171443299999996</v>
      </c>
      <c r="O425" s="135">
        <v>1.1757372610000001</v>
      </c>
      <c r="P425" s="134">
        <v>4.019E-5</v>
      </c>
      <c r="Q425" s="135">
        <v>4.4075599999999994E-4</v>
      </c>
      <c r="R425" s="135">
        <v>3.8891053999999994E-2</v>
      </c>
      <c r="S425" s="135">
        <v>0.13230700100000001</v>
      </c>
      <c r="T425" s="136">
        <v>0.25736330600000001</v>
      </c>
      <c r="U425" s="135">
        <v>7.9575800000000003E-4</v>
      </c>
      <c r="V425" s="135">
        <v>4.6010649999999997E-3</v>
      </c>
      <c r="W425" s="135">
        <v>3.6403038999999998E-2</v>
      </c>
      <c r="X425" s="135">
        <v>7.3319888E-2</v>
      </c>
      <c r="Y425" s="136">
        <v>8.5994282999999991E-2</v>
      </c>
    </row>
    <row r="426" spans="1:25">
      <c r="A426" s="125" t="s">
        <v>52</v>
      </c>
      <c r="B426" t="s">
        <v>75</v>
      </c>
      <c r="C426" s="186" t="s">
        <v>146</v>
      </c>
      <c r="D426" t="s">
        <v>147</v>
      </c>
      <c r="E426" t="s">
        <v>376</v>
      </c>
      <c r="F426" s="134">
        <v>9.7816613959999987</v>
      </c>
      <c r="G426" s="135">
        <v>23.801230504999999</v>
      </c>
      <c r="H426" s="135">
        <v>46.786374092999992</v>
      </c>
      <c r="I426" s="135">
        <v>83.454906477000037</v>
      </c>
      <c r="J426" s="136">
        <v>112.60459042899998</v>
      </c>
      <c r="K426" s="135">
        <v>9.9960100000000014E-4</v>
      </c>
      <c r="L426" s="135">
        <v>0.44026515100000002</v>
      </c>
      <c r="M426" s="135">
        <v>3.6588253750000002</v>
      </c>
      <c r="N426" s="135">
        <v>6.4576096329999997</v>
      </c>
      <c r="O426" s="135">
        <v>6.7495896980000003</v>
      </c>
      <c r="P426" s="134">
        <v>9.60797E-4</v>
      </c>
      <c r="Q426" s="135">
        <v>7.2437729999999985E-3</v>
      </c>
      <c r="R426" s="135">
        <v>0.56617831099999993</v>
      </c>
      <c r="S426" s="135">
        <v>1.8466642440000003</v>
      </c>
      <c r="T426" s="136">
        <v>3.5765620600000001</v>
      </c>
      <c r="U426" s="135">
        <v>6.3877666E-2</v>
      </c>
      <c r="V426" s="135">
        <v>0.27633803000000001</v>
      </c>
      <c r="W426" s="135">
        <v>2.7507357520000002</v>
      </c>
      <c r="X426" s="135">
        <v>5.719584599</v>
      </c>
      <c r="Y426" s="136">
        <v>6.7581446600000001</v>
      </c>
    </row>
    <row r="427" spans="1:25">
      <c r="A427" s="125" t="s">
        <v>52</v>
      </c>
      <c r="B427" t="s">
        <v>75</v>
      </c>
      <c r="C427" s="186" t="s">
        <v>146</v>
      </c>
      <c r="D427" t="s">
        <v>149</v>
      </c>
      <c r="E427" t="s">
        <v>376</v>
      </c>
      <c r="F427" s="134">
        <v>4.145142119</v>
      </c>
      <c r="G427" s="135">
        <v>6.4924753580000001</v>
      </c>
      <c r="H427" s="135">
        <v>7.8696725009999993</v>
      </c>
      <c r="I427" s="135">
        <v>8.4639614160000018</v>
      </c>
      <c r="J427" s="136">
        <v>8.7629885660000006</v>
      </c>
      <c r="K427" s="135">
        <v>0</v>
      </c>
      <c r="L427" s="135">
        <v>0</v>
      </c>
      <c r="M427" s="135">
        <v>0.62238847099999994</v>
      </c>
      <c r="N427" s="135">
        <v>2.7989977460000004</v>
      </c>
      <c r="O427" s="135">
        <v>3.7751881000000003</v>
      </c>
      <c r="P427" s="134">
        <v>6.0527499999999995E-4</v>
      </c>
      <c r="Q427" s="135">
        <v>4.2125900000000004E-3</v>
      </c>
      <c r="R427" s="135">
        <v>0.32793697900000002</v>
      </c>
      <c r="S427" s="135">
        <v>1.0585830930000002</v>
      </c>
      <c r="T427" s="136">
        <v>2.0478673920000001</v>
      </c>
      <c r="U427" s="135">
        <v>6.2864882999999996E-2</v>
      </c>
      <c r="V427" s="135">
        <v>0.23271308899999998</v>
      </c>
      <c r="W427" s="135">
        <v>2.6327720540000001</v>
      </c>
      <c r="X427" s="135">
        <v>5.5237459260000001</v>
      </c>
      <c r="Y427" s="136">
        <v>6.5193548720000001</v>
      </c>
    </row>
    <row r="428" spans="1:25">
      <c r="A428" s="125" t="s">
        <v>52</v>
      </c>
      <c r="B428" t="s">
        <v>75</v>
      </c>
      <c r="C428" s="186" t="s">
        <v>356</v>
      </c>
      <c r="D428" t="s">
        <v>354</v>
      </c>
      <c r="E428" t="s">
        <v>376</v>
      </c>
      <c r="F428" s="134">
        <v>2.39465634</v>
      </c>
      <c r="G428" s="135">
        <v>4.5500771640000002</v>
      </c>
      <c r="H428" s="135">
        <v>7.3802432879999991</v>
      </c>
      <c r="I428" s="135">
        <v>12.055036156999998</v>
      </c>
      <c r="J428" s="136">
        <v>15.824006492000001</v>
      </c>
      <c r="K428" s="135">
        <v>0</v>
      </c>
      <c r="L428" s="135">
        <v>0</v>
      </c>
      <c r="M428" s="135">
        <v>0</v>
      </c>
      <c r="N428" s="135">
        <v>0</v>
      </c>
      <c r="O428" s="135">
        <v>0</v>
      </c>
      <c r="P428" s="134">
        <v>0</v>
      </c>
      <c r="Q428" s="135">
        <v>1.9388400000000002E-4</v>
      </c>
      <c r="R428" s="135">
        <v>1.8478900000000001E-4</v>
      </c>
      <c r="S428" s="135">
        <v>1.4314499999999999E-4</v>
      </c>
      <c r="T428" s="136">
        <v>2.2252399999999999E-4</v>
      </c>
      <c r="U428" s="135">
        <v>1.7743220000000001E-2</v>
      </c>
      <c r="V428" s="135">
        <v>6.3602005000000003E-2</v>
      </c>
      <c r="W428" s="135">
        <v>0.75837329799999997</v>
      </c>
      <c r="X428" s="135">
        <v>1.5879265489999999</v>
      </c>
      <c r="Y428" s="136">
        <v>1.879515767</v>
      </c>
    </row>
    <row r="429" spans="1:25">
      <c r="A429" s="125" t="s">
        <v>52</v>
      </c>
      <c r="B429" t="s">
        <v>75</v>
      </c>
      <c r="C429" s="186" t="s">
        <v>356</v>
      </c>
      <c r="D429" t="s">
        <v>357</v>
      </c>
      <c r="E429" t="s">
        <v>376</v>
      </c>
      <c r="F429" s="134">
        <v>0.21792715699999995</v>
      </c>
      <c r="G429" s="135">
        <v>0.20896853600000001</v>
      </c>
      <c r="H429" s="135">
        <v>1.3248431940000001</v>
      </c>
      <c r="I429" s="135">
        <v>3.0531352479999998</v>
      </c>
      <c r="J429" s="136">
        <v>4.1742775559999998</v>
      </c>
      <c r="K429" s="135">
        <v>0</v>
      </c>
      <c r="L429" s="135">
        <v>0</v>
      </c>
      <c r="M429" s="135">
        <v>0</v>
      </c>
      <c r="N429" s="135">
        <v>0</v>
      </c>
      <c r="O429" s="135">
        <v>0</v>
      </c>
      <c r="P429" s="134">
        <v>0</v>
      </c>
      <c r="Q429" s="135">
        <v>2.4886299999999999E-4</v>
      </c>
      <c r="R429" s="135">
        <v>2.4192199999999999E-4</v>
      </c>
      <c r="S429" s="135">
        <v>1.9078199999999999E-4</v>
      </c>
      <c r="T429" s="136">
        <v>3.1726399999999999E-4</v>
      </c>
      <c r="U429" s="135">
        <v>2.3584832999999999E-2</v>
      </c>
      <c r="V429" s="135">
        <v>8.2371385999999991E-2</v>
      </c>
      <c r="W429" s="135">
        <v>1.0073848379999999</v>
      </c>
      <c r="X429" s="135">
        <v>2.1125506710000002</v>
      </c>
      <c r="Y429" s="136">
        <v>2.5026640899999997</v>
      </c>
    </row>
    <row r="430" spans="1:25">
      <c r="A430" s="125" t="s">
        <v>52</v>
      </c>
      <c r="B430" t="s">
        <v>75</v>
      </c>
      <c r="C430" s="186" t="s">
        <v>153</v>
      </c>
      <c r="D430" t="s">
        <v>151</v>
      </c>
      <c r="E430" t="s">
        <v>376</v>
      </c>
      <c r="F430" s="134">
        <v>6.6832291000000002E-2</v>
      </c>
      <c r="G430" s="135">
        <v>0.16617939600000001</v>
      </c>
      <c r="H430" s="135">
        <v>0.36965232199999998</v>
      </c>
      <c r="I430" s="135">
        <v>0.769878595</v>
      </c>
      <c r="J430" s="136">
        <v>0.94833615599999987</v>
      </c>
      <c r="K430" s="135">
        <v>9.9260000000000008E-5</v>
      </c>
      <c r="L430" s="135">
        <v>9.9260000000000008E-5</v>
      </c>
      <c r="M430" s="135">
        <v>6.7284400000000002E-4</v>
      </c>
      <c r="N430" s="135">
        <v>1.108141E-3</v>
      </c>
      <c r="O430" s="135">
        <v>1.188672E-3</v>
      </c>
      <c r="P430" s="134">
        <v>4.9336299999999992E-4</v>
      </c>
      <c r="Q430" s="135">
        <v>6.5698799999999995E-4</v>
      </c>
      <c r="R430" s="135">
        <v>5.8624099999999993E-4</v>
      </c>
      <c r="S430" s="135">
        <v>6.7752199999999996E-4</v>
      </c>
      <c r="T430" s="136">
        <v>6.5629700000000002E-4</v>
      </c>
      <c r="U430" s="135">
        <v>7.9406000000000008E-3</v>
      </c>
      <c r="V430" s="135">
        <v>2.7769303000000002E-2</v>
      </c>
      <c r="W430" s="135">
        <v>0.86048979599999997</v>
      </c>
      <c r="X430" s="135">
        <v>1.6782780980000001</v>
      </c>
      <c r="Y430" s="136">
        <v>2.172742768</v>
      </c>
    </row>
    <row r="431" spans="1:25">
      <c r="A431" s="125" t="s">
        <v>52</v>
      </c>
      <c r="B431" t="s">
        <v>75</v>
      </c>
      <c r="C431" s="186" t="s">
        <v>111</v>
      </c>
      <c r="D431" t="s">
        <v>154</v>
      </c>
      <c r="E431" t="s">
        <v>376</v>
      </c>
      <c r="F431" s="134">
        <v>8.8752631219999998</v>
      </c>
      <c r="G431" s="135">
        <v>16.559679699</v>
      </c>
      <c r="H431" s="135">
        <v>23.833394311000003</v>
      </c>
      <c r="I431" s="135">
        <v>33.155535207</v>
      </c>
      <c r="J431" s="136">
        <v>39.192262028000002</v>
      </c>
      <c r="K431" s="135">
        <v>0</v>
      </c>
      <c r="L431" s="135">
        <v>3.7507208E-2</v>
      </c>
      <c r="M431" s="135">
        <v>0.69599340200000004</v>
      </c>
      <c r="N431" s="135">
        <v>1.827775347</v>
      </c>
      <c r="O431" s="135">
        <v>2.5464740300000006</v>
      </c>
      <c r="P431" s="134">
        <v>0</v>
      </c>
      <c r="Q431" s="135">
        <v>1.7573100000000002E-4</v>
      </c>
      <c r="R431" s="135">
        <v>2.9381113999999996E-2</v>
      </c>
      <c r="S431" s="135">
        <v>0.58708455299999995</v>
      </c>
      <c r="T431" s="136">
        <v>1.4941633490000001</v>
      </c>
      <c r="U431" s="135">
        <v>8.3158628999999998E-2</v>
      </c>
      <c r="V431" s="135">
        <v>0.29008720300000002</v>
      </c>
      <c r="W431" s="135">
        <v>3.45064401</v>
      </c>
      <c r="X431" s="135">
        <v>7.2635513390000002</v>
      </c>
      <c r="Y431" s="136">
        <v>8.5710456850000014</v>
      </c>
    </row>
    <row r="432" spans="1:25">
      <c r="A432" s="125" t="s">
        <v>52</v>
      </c>
      <c r="B432" t="s">
        <v>75</v>
      </c>
      <c r="C432" s="186" t="s">
        <v>113</v>
      </c>
      <c r="D432" t="s">
        <v>193</v>
      </c>
      <c r="E432" t="s">
        <v>376</v>
      </c>
      <c r="F432" s="134">
        <v>10.135389118611112</v>
      </c>
      <c r="G432" s="135">
        <v>16.952831464444436</v>
      </c>
      <c r="H432" s="135">
        <v>23.091222241111108</v>
      </c>
      <c r="I432" s="135">
        <v>37.819811061666684</v>
      </c>
      <c r="J432" s="136">
        <v>42.424641678055579</v>
      </c>
      <c r="K432" s="135">
        <v>3.4578045999999994E-2</v>
      </c>
      <c r="L432" s="135">
        <v>1.3811260390000002</v>
      </c>
      <c r="M432" s="135">
        <v>4.2108643779999984</v>
      </c>
      <c r="N432" s="135">
        <v>5.4538348030000003</v>
      </c>
      <c r="O432" s="135">
        <v>5.2192605939999996</v>
      </c>
      <c r="P432" s="134">
        <v>6.3463400000000093E-3</v>
      </c>
      <c r="Q432" s="135">
        <v>0.88645046499999913</v>
      </c>
      <c r="R432" s="135">
        <v>4.1140343999999951</v>
      </c>
      <c r="S432" s="135">
        <v>5.2582775160000024</v>
      </c>
      <c r="T432" s="136">
        <v>4.7153594419999898</v>
      </c>
      <c r="U432" s="135">
        <v>8.9309685999999999E-2</v>
      </c>
      <c r="V432" s="135">
        <v>0.42375030699999988</v>
      </c>
      <c r="W432" s="135">
        <v>4.0525210310000004</v>
      </c>
      <c r="X432" s="135">
        <v>8.4321034800000039</v>
      </c>
      <c r="Y432" s="136">
        <v>10.070500949999998</v>
      </c>
    </row>
    <row r="433" spans="1:25">
      <c r="A433" s="125" t="s">
        <v>52</v>
      </c>
      <c r="B433" t="s">
        <v>75</v>
      </c>
      <c r="C433" s="186" t="s">
        <v>113</v>
      </c>
      <c r="D433" t="s">
        <v>195</v>
      </c>
      <c r="E433" t="s">
        <v>376</v>
      </c>
      <c r="F433" s="134">
        <v>15.480633226111102</v>
      </c>
      <c r="G433" s="135">
        <v>22.848912446666645</v>
      </c>
      <c r="H433" s="135">
        <v>28.261747857222222</v>
      </c>
      <c r="I433" s="135">
        <v>43.155407418333311</v>
      </c>
      <c r="J433" s="136">
        <v>47.546385579166667</v>
      </c>
      <c r="K433" s="135">
        <v>5.2718527000000001E-2</v>
      </c>
      <c r="L433" s="135">
        <v>2.1477227870000002</v>
      </c>
      <c r="M433" s="135">
        <v>6.3967631239999978</v>
      </c>
      <c r="N433" s="135">
        <v>7.9315210600000006</v>
      </c>
      <c r="O433" s="135">
        <v>7.3985652189999973</v>
      </c>
      <c r="P433" s="134">
        <v>8.1509340000000072E-3</v>
      </c>
      <c r="Q433" s="135">
        <v>1.097689738000001</v>
      </c>
      <c r="R433" s="135">
        <v>5.1092553249999915</v>
      </c>
      <c r="S433" s="135">
        <v>6.5283797140000104</v>
      </c>
      <c r="T433" s="136">
        <v>5.8555150919999921</v>
      </c>
      <c r="U433" s="135">
        <v>0.107456963</v>
      </c>
      <c r="V433" s="135">
        <v>0.38850175900000011</v>
      </c>
      <c r="W433" s="135">
        <v>4.888790393999999</v>
      </c>
      <c r="X433" s="135">
        <v>10.288203873000004</v>
      </c>
      <c r="Y433" s="136">
        <v>12.369859082</v>
      </c>
    </row>
    <row r="434" spans="1:25">
      <c r="A434" s="125" t="s">
        <v>52</v>
      </c>
      <c r="B434" t="s">
        <v>75</v>
      </c>
      <c r="C434" s="186" t="s">
        <v>113</v>
      </c>
      <c r="D434" t="s">
        <v>197</v>
      </c>
      <c r="E434" t="s">
        <v>376</v>
      </c>
      <c r="F434" s="134">
        <v>2.6780174852777776</v>
      </c>
      <c r="G434" s="135">
        <v>2.6452639899999992</v>
      </c>
      <c r="H434" s="135">
        <v>2.175019033611111</v>
      </c>
      <c r="I434" s="135">
        <v>2.367304477222222</v>
      </c>
      <c r="J434" s="136">
        <v>2.4227641311111108</v>
      </c>
      <c r="K434" s="135">
        <v>3.3811064000000002E-2</v>
      </c>
      <c r="L434" s="135">
        <v>0.17606440599999998</v>
      </c>
      <c r="M434" s="135">
        <v>0.41442069399999998</v>
      </c>
      <c r="N434" s="135">
        <v>0.42960375500000003</v>
      </c>
      <c r="O434" s="135">
        <v>0.354316768</v>
      </c>
      <c r="P434" s="134">
        <v>2.1523010000000001E-3</v>
      </c>
      <c r="Q434" s="135">
        <v>0.25631031400000004</v>
      </c>
      <c r="R434" s="135">
        <v>1.211136837</v>
      </c>
      <c r="S434" s="135">
        <v>1.559459215</v>
      </c>
      <c r="T434" s="136">
        <v>1.4100605640000001</v>
      </c>
      <c r="U434" s="135">
        <v>2.6184309999999999E-2</v>
      </c>
      <c r="V434" s="135">
        <v>9.76635E-2</v>
      </c>
      <c r="W434" s="135">
        <v>1.261218714</v>
      </c>
      <c r="X434" s="135">
        <v>2.6189106999999998</v>
      </c>
      <c r="Y434" s="136">
        <v>3.1637342119999996</v>
      </c>
    </row>
    <row r="435" spans="1:25">
      <c r="A435" s="125" t="s">
        <v>52</v>
      </c>
      <c r="B435" t="s">
        <v>75</v>
      </c>
      <c r="C435" s="186" t="s">
        <v>113</v>
      </c>
      <c r="D435" t="s">
        <v>199</v>
      </c>
      <c r="E435" t="s">
        <v>376</v>
      </c>
      <c r="F435" s="134">
        <v>2.8394851841666662</v>
      </c>
      <c r="G435" s="135">
        <v>7.2859723683333328</v>
      </c>
      <c r="H435" s="135">
        <v>11.653158624444441</v>
      </c>
      <c r="I435" s="135">
        <v>21.180051043611112</v>
      </c>
      <c r="J435" s="136">
        <v>23.932536662222223</v>
      </c>
      <c r="K435" s="135">
        <v>7.3316733000000009E-2</v>
      </c>
      <c r="L435" s="135">
        <v>2.0765444369999999</v>
      </c>
      <c r="M435" s="135">
        <v>5.6669059770000008</v>
      </c>
      <c r="N435" s="135">
        <v>5.8579774809999989</v>
      </c>
      <c r="O435" s="135">
        <v>4.8421068789999984</v>
      </c>
      <c r="P435" s="134">
        <v>1.5940409999999998E-3</v>
      </c>
      <c r="Q435" s="135">
        <v>0.25895087699999986</v>
      </c>
      <c r="R435" s="135">
        <v>1.2276524759999998</v>
      </c>
      <c r="S435" s="135">
        <v>1.5521952559999999</v>
      </c>
      <c r="T435" s="136">
        <v>1.3818114869999998</v>
      </c>
      <c r="U435" s="135">
        <v>2.0923692000000001E-2</v>
      </c>
      <c r="V435" s="135">
        <v>7.738814300000002E-2</v>
      </c>
      <c r="W435" s="135">
        <v>0.8737184349999999</v>
      </c>
      <c r="X435" s="135">
        <v>1.825017516</v>
      </c>
      <c r="Y435" s="136">
        <v>2.1452203430000001</v>
      </c>
    </row>
    <row r="436" spans="1:25">
      <c r="A436" s="125" t="s">
        <v>52</v>
      </c>
      <c r="B436" t="s">
        <v>75</v>
      </c>
      <c r="C436" s="186" t="s">
        <v>113</v>
      </c>
      <c r="D436" t="s">
        <v>201</v>
      </c>
      <c r="E436" t="s">
        <v>376</v>
      </c>
      <c r="F436" s="134">
        <v>2.486839281944444</v>
      </c>
      <c r="G436" s="135">
        <v>5.2468454502777773</v>
      </c>
      <c r="H436" s="135">
        <v>6.3458177830555549</v>
      </c>
      <c r="I436" s="135">
        <v>7.3559284902777771</v>
      </c>
      <c r="J436" s="136">
        <v>7.8852484205555555</v>
      </c>
      <c r="K436" s="135">
        <v>2.4480014000000001E-2</v>
      </c>
      <c r="L436" s="135">
        <v>0.32173107300000003</v>
      </c>
      <c r="M436" s="135">
        <v>0.83471696799999995</v>
      </c>
      <c r="N436" s="135">
        <v>0.86179046799999992</v>
      </c>
      <c r="O436" s="135">
        <v>0.71087022599999983</v>
      </c>
      <c r="P436" s="134">
        <v>4.9683500000000005E-4</v>
      </c>
      <c r="Q436" s="135">
        <v>6.9859781999999981E-2</v>
      </c>
      <c r="R436" s="135">
        <v>0.32839241899999999</v>
      </c>
      <c r="S436" s="135">
        <v>0.41970305399999991</v>
      </c>
      <c r="T436" s="136">
        <v>0.37716485299999991</v>
      </c>
      <c r="U436" s="135">
        <v>5.055159E-3</v>
      </c>
      <c r="V436" s="135">
        <v>8.6510469000000007E-2</v>
      </c>
      <c r="W436" s="135">
        <v>0.35227109200000001</v>
      </c>
      <c r="X436" s="135">
        <v>0.64455779600000007</v>
      </c>
      <c r="Y436" s="136">
        <v>0.77592321399999997</v>
      </c>
    </row>
    <row r="437" spans="1:25">
      <c r="A437" s="125" t="s">
        <v>52</v>
      </c>
      <c r="B437" t="s">
        <v>75</v>
      </c>
      <c r="C437" s="186" t="s">
        <v>113</v>
      </c>
      <c r="D437" t="s">
        <v>203</v>
      </c>
      <c r="E437" t="s">
        <v>376</v>
      </c>
      <c r="F437" s="134">
        <v>1.7887661447222221</v>
      </c>
      <c r="G437" s="135">
        <v>3.7026513619444446</v>
      </c>
      <c r="H437" s="135">
        <v>5.7646208744444438</v>
      </c>
      <c r="I437" s="135">
        <v>10.984626380555556</v>
      </c>
      <c r="J437" s="136">
        <v>12.534883508611109</v>
      </c>
      <c r="K437" s="135">
        <v>1.6769580000000001E-3</v>
      </c>
      <c r="L437" s="135">
        <v>6.8318338000000006E-2</v>
      </c>
      <c r="M437" s="135">
        <v>0.18752566099999998</v>
      </c>
      <c r="N437" s="135">
        <v>0.19439600500000001</v>
      </c>
      <c r="O437" s="135">
        <v>0.16243549100000002</v>
      </c>
      <c r="P437" s="134">
        <v>1.511657E-3</v>
      </c>
      <c r="Q437" s="135">
        <v>0.175962061</v>
      </c>
      <c r="R437" s="135">
        <v>0.81641398000000009</v>
      </c>
      <c r="S437" s="135">
        <v>1.048979128</v>
      </c>
      <c r="T437" s="136">
        <v>0.94677612700000002</v>
      </c>
      <c r="U437" s="135">
        <v>1.2936641E-2</v>
      </c>
      <c r="V437" s="135">
        <v>0.17903924700000001</v>
      </c>
      <c r="W437" s="135">
        <v>0.86526185700000002</v>
      </c>
      <c r="X437" s="135">
        <v>1.628631288</v>
      </c>
      <c r="Y437" s="136">
        <v>1.9791596330000001</v>
      </c>
    </row>
    <row r="438" spans="1:25">
      <c r="A438" s="125" t="s">
        <v>52</v>
      </c>
      <c r="B438" t="s">
        <v>75</v>
      </c>
      <c r="C438" s="186" t="s">
        <v>113</v>
      </c>
      <c r="D438" t="s">
        <v>205</v>
      </c>
      <c r="E438" t="s">
        <v>376</v>
      </c>
      <c r="F438" s="134">
        <v>5.6070949858333323</v>
      </c>
      <c r="G438" s="135">
        <v>5.9681153233333344</v>
      </c>
      <c r="H438" s="135">
        <v>5.3008446361111092</v>
      </c>
      <c r="I438" s="135">
        <v>5.8551620625000007</v>
      </c>
      <c r="J438" s="136">
        <v>6.0216037552777797</v>
      </c>
      <c r="K438" s="135">
        <v>2.1985798000000001E-2</v>
      </c>
      <c r="L438" s="135">
        <v>0.89568893000000016</v>
      </c>
      <c r="M438" s="135">
        <v>2.8194502789999984</v>
      </c>
      <c r="N438" s="135">
        <v>3.8580293089999995</v>
      </c>
      <c r="O438" s="135">
        <v>3.8002354420000004</v>
      </c>
      <c r="P438" s="134">
        <v>4.6617270000000009E-3</v>
      </c>
      <c r="Q438" s="135">
        <v>0.58919125999999977</v>
      </c>
      <c r="R438" s="135">
        <v>2.7855934440000003</v>
      </c>
      <c r="S438" s="135">
        <v>3.5483417959999972</v>
      </c>
      <c r="T438" s="136">
        <v>3.1769601350000007</v>
      </c>
      <c r="U438" s="135">
        <v>4.9350113000000001E-2</v>
      </c>
      <c r="V438" s="135">
        <v>0.19588997099999997</v>
      </c>
      <c r="W438" s="135">
        <v>2.6996352770000001</v>
      </c>
      <c r="X438" s="135">
        <v>5.5034102009999994</v>
      </c>
      <c r="Y438" s="136">
        <v>6.7196237379999983</v>
      </c>
    </row>
    <row r="439" spans="1:25">
      <c r="A439" s="125" t="s">
        <v>52</v>
      </c>
      <c r="B439" t="s">
        <v>75</v>
      </c>
      <c r="C439" s="186" t="s">
        <v>113</v>
      </c>
      <c r="D439" t="s">
        <v>207</v>
      </c>
      <c r="E439" t="s">
        <v>376</v>
      </c>
      <c r="F439" s="134">
        <v>0.61065910138888868</v>
      </c>
      <c r="G439" s="135">
        <v>0.74901490861111109</v>
      </c>
      <c r="H439" s="135">
        <v>0.78829226444444445</v>
      </c>
      <c r="I439" s="135">
        <v>0.88348223222222222</v>
      </c>
      <c r="J439" s="136">
        <v>0.93906388222222215</v>
      </c>
      <c r="K439" s="135">
        <v>1.8668191999999997E-2</v>
      </c>
      <c r="L439" s="135">
        <v>0.72264984500000007</v>
      </c>
      <c r="M439" s="135">
        <v>1.9869754549999996</v>
      </c>
      <c r="N439" s="135">
        <v>2.0579796779999997</v>
      </c>
      <c r="O439" s="135">
        <v>1.697978802</v>
      </c>
      <c r="P439" s="134">
        <v>8.3320000000000009E-4</v>
      </c>
      <c r="Q439" s="135">
        <v>0.11634100000000001</v>
      </c>
      <c r="R439" s="135">
        <v>0.54439190599999998</v>
      </c>
      <c r="S439" s="135">
        <v>0.69613120299999942</v>
      </c>
      <c r="T439" s="136">
        <v>0.62537479799999984</v>
      </c>
      <c r="U439" s="135">
        <v>1.3874824000000001E-2</v>
      </c>
      <c r="V439" s="135">
        <v>6.9223668000000002E-2</v>
      </c>
      <c r="W439" s="135">
        <v>0.59033586500000013</v>
      </c>
      <c r="X439" s="135">
        <v>1.1843351</v>
      </c>
      <c r="Y439" s="136">
        <v>1.3687297740000002</v>
      </c>
    </row>
    <row r="440" spans="1:25">
      <c r="A440" s="125" t="s">
        <v>52</v>
      </c>
      <c r="B440" t="s">
        <v>75</v>
      </c>
      <c r="C440" s="186" t="s">
        <v>113</v>
      </c>
      <c r="D440" t="s">
        <v>209</v>
      </c>
      <c r="E440" t="s">
        <v>376</v>
      </c>
      <c r="F440" s="134">
        <v>10.676902134166665</v>
      </c>
      <c r="G440" s="135">
        <v>17.391329573611102</v>
      </c>
      <c r="H440" s="135">
        <v>20.811173733333334</v>
      </c>
      <c r="I440" s="135">
        <v>27.555690015277779</v>
      </c>
      <c r="J440" s="136">
        <v>29.832073850000015</v>
      </c>
      <c r="K440" s="135">
        <v>8.3106305000000019E-2</v>
      </c>
      <c r="L440" s="135">
        <v>2.5510339020000008</v>
      </c>
      <c r="M440" s="135">
        <v>7.3702313249999998</v>
      </c>
      <c r="N440" s="135">
        <v>8.6566360320000033</v>
      </c>
      <c r="O440" s="135">
        <v>7.818639426999999</v>
      </c>
      <c r="P440" s="134">
        <v>4.4835109999999991E-3</v>
      </c>
      <c r="Q440" s="135">
        <v>0.63198736999999994</v>
      </c>
      <c r="R440" s="135">
        <v>2.9189637810000009</v>
      </c>
      <c r="S440" s="135">
        <v>3.7340330650000002</v>
      </c>
      <c r="T440" s="136">
        <v>3.3488770430000017</v>
      </c>
      <c r="U440" s="135">
        <v>6.4866249999999986E-2</v>
      </c>
      <c r="V440" s="135">
        <v>0.28793299500000002</v>
      </c>
      <c r="W440" s="135">
        <v>2.8572657819999994</v>
      </c>
      <c r="X440" s="135">
        <v>5.913664346</v>
      </c>
      <c r="Y440" s="136">
        <v>6.9907168679999989</v>
      </c>
    </row>
    <row r="441" spans="1:25">
      <c r="A441" s="125" t="s">
        <v>52</v>
      </c>
      <c r="B441" t="s">
        <v>75</v>
      </c>
      <c r="C441" s="186" t="s">
        <v>113</v>
      </c>
      <c r="D441" t="s">
        <v>211</v>
      </c>
      <c r="E441" t="s">
        <v>376</v>
      </c>
      <c r="F441" s="134">
        <v>34.827250619166676</v>
      </c>
      <c r="G441" s="135">
        <v>62.381787803333317</v>
      </c>
      <c r="H441" s="135">
        <v>77.650216032777777</v>
      </c>
      <c r="I441" s="135">
        <v>113.37541369361121</v>
      </c>
      <c r="J441" s="136">
        <v>124.24798064638884</v>
      </c>
      <c r="K441" s="135">
        <v>0.16343452599999994</v>
      </c>
      <c r="L441" s="135">
        <v>5.2371959400000003</v>
      </c>
      <c r="M441" s="135">
        <v>14.521505025</v>
      </c>
      <c r="N441" s="135">
        <v>15.491407904999994</v>
      </c>
      <c r="O441" s="135">
        <v>13.065059112999995</v>
      </c>
      <c r="P441" s="134">
        <v>1.0909831000000004E-2</v>
      </c>
      <c r="Q441" s="135">
        <v>1.5009543850000011</v>
      </c>
      <c r="R441" s="135">
        <v>6.947855145000001</v>
      </c>
      <c r="S441" s="135">
        <v>8.8825510550000111</v>
      </c>
      <c r="T441" s="136">
        <v>7.963134554999999</v>
      </c>
      <c r="U441" s="135">
        <v>0.14013714999999999</v>
      </c>
      <c r="V441" s="135">
        <v>0.63539415599999982</v>
      </c>
      <c r="W441" s="135">
        <v>6.3528022810000007</v>
      </c>
      <c r="X441" s="135">
        <v>13.023178652000004</v>
      </c>
      <c r="Y441" s="136">
        <v>15.408381072999999</v>
      </c>
    </row>
    <row r="442" spans="1:25">
      <c r="A442" s="125" t="s">
        <v>52</v>
      </c>
      <c r="B442" t="s">
        <v>75</v>
      </c>
      <c r="C442" s="186" t="s">
        <v>113</v>
      </c>
      <c r="D442" t="s">
        <v>213</v>
      </c>
      <c r="E442" t="s">
        <v>376</v>
      </c>
      <c r="F442" s="134">
        <v>3.8339096772222234</v>
      </c>
      <c r="G442" s="135">
        <v>9.5358902841666726</v>
      </c>
      <c r="H442" s="135">
        <v>12.328982892777777</v>
      </c>
      <c r="I442" s="135">
        <v>16.432471202222224</v>
      </c>
      <c r="J442" s="136">
        <v>17.122044272222208</v>
      </c>
      <c r="K442" s="135">
        <v>6.1402974000000013E-2</v>
      </c>
      <c r="L442" s="135">
        <v>2.5015225499999993</v>
      </c>
      <c r="M442" s="135">
        <v>7.0767924979999988</v>
      </c>
      <c r="N442" s="135">
        <v>7.7779238130000028</v>
      </c>
      <c r="O442" s="135">
        <v>6.7048498110000017</v>
      </c>
      <c r="P442" s="134">
        <v>2.1766930000000004E-3</v>
      </c>
      <c r="Q442" s="135">
        <v>0.30744140100000011</v>
      </c>
      <c r="R442" s="135">
        <v>1.4284206499999994</v>
      </c>
      <c r="S442" s="135">
        <v>1.8254598380000013</v>
      </c>
      <c r="T442" s="136">
        <v>1.6372631709999994</v>
      </c>
      <c r="U442" s="135">
        <v>3.4512324000000004E-2</v>
      </c>
      <c r="V442" s="135">
        <v>0.13683190300000003</v>
      </c>
      <c r="W442" s="135">
        <v>1.4686050310000003</v>
      </c>
      <c r="X442" s="135">
        <v>3.0718554729999989</v>
      </c>
      <c r="Y442" s="136">
        <v>3.6303769779999993</v>
      </c>
    </row>
    <row r="443" spans="1:25">
      <c r="A443" s="125" t="s">
        <v>52</v>
      </c>
      <c r="B443" t="s">
        <v>75</v>
      </c>
      <c r="C443" s="186" t="s">
        <v>113</v>
      </c>
      <c r="D443" t="s">
        <v>215</v>
      </c>
      <c r="E443" t="s">
        <v>376</v>
      </c>
      <c r="F443" s="134">
        <v>2.9972592588888887</v>
      </c>
      <c r="G443" s="135">
        <v>6.2202695327777775</v>
      </c>
      <c r="H443" s="135">
        <v>7.5072552666666645</v>
      </c>
      <c r="I443" s="135">
        <v>8.7563758525000015</v>
      </c>
      <c r="J443" s="136">
        <v>9.4524385274999965</v>
      </c>
      <c r="K443" s="135">
        <v>4.0025919999999993E-3</v>
      </c>
      <c r="L443" s="135">
        <v>0.163063336</v>
      </c>
      <c r="M443" s="135">
        <v>0.49667734999999996</v>
      </c>
      <c r="N443" s="135">
        <v>0.63723369899999982</v>
      </c>
      <c r="O443" s="135">
        <v>0.60745604600000003</v>
      </c>
      <c r="P443" s="134">
        <v>6.0437000000000023E-4</v>
      </c>
      <c r="Q443" s="135">
        <v>8.0469606000000013E-2</v>
      </c>
      <c r="R443" s="135">
        <v>0.37050667900000017</v>
      </c>
      <c r="S443" s="135">
        <v>0.47444908000000008</v>
      </c>
      <c r="T443" s="136">
        <v>0.42547192500000008</v>
      </c>
      <c r="U443" s="135">
        <v>7.8026459999999999E-3</v>
      </c>
      <c r="V443" s="135">
        <v>2.9571509999999999E-2</v>
      </c>
      <c r="W443" s="135">
        <v>0.32208222399999997</v>
      </c>
      <c r="X443" s="135">
        <v>0.66042038700000005</v>
      </c>
      <c r="Y443" s="136">
        <v>0.76532930200000016</v>
      </c>
    </row>
    <row r="444" spans="1:25">
      <c r="A444" s="125" t="s">
        <v>52</v>
      </c>
      <c r="B444" t="s">
        <v>75</v>
      </c>
      <c r="C444" s="186" t="s">
        <v>113</v>
      </c>
      <c r="D444" t="s">
        <v>217</v>
      </c>
      <c r="E444" t="s">
        <v>376</v>
      </c>
      <c r="F444" s="134">
        <v>2.478433331666666</v>
      </c>
      <c r="G444" s="135">
        <v>3.6228036374999979</v>
      </c>
      <c r="H444" s="135">
        <v>4.2232947447222209</v>
      </c>
      <c r="I444" s="135">
        <v>5.5922239922222241</v>
      </c>
      <c r="J444" s="136">
        <v>6.0271796880555577</v>
      </c>
      <c r="K444" s="135">
        <v>5.3113484999999995E-2</v>
      </c>
      <c r="L444" s="135">
        <v>1.2887796800000002</v>
      </c>
      <c r="M444" s="135">
        <v>3.4775248310000006</v>
      </c>
      <c r="N444" s="135">
        <v>3.5904118689999995</v>
      </c>
      <c r="O444" s="135">
        <v>2.9705875999999996</v>
      </c>
      <c r="P444" s="134">
        <v>2.1205559999999996E-3</v>
      </c>
      <c r="Q444" s="135">
        <v>0.30063206799999992</v>
      </c>
      <c r="R444" s="135">
        <v>1.3954286910000011</v>
      </c>
      <c r="S444" s="135">
        <v>1.7862187780000003</v>
      </c>
      <c r="T444" s="136">
        <v>1.6030940909999998</v>
      </c>
      <c r="U444" s="135">
        <v>3.1121692000000003E-2</v>
      </c>
      <c r="V444" s="135">
        <v>0.10992172499999997</v>
      </c>
      <c r="W444" s="135">
        <v>1.243971699</v>
      </c>
      <c r="X444" s="135">
        <v>2.5475363579999999</v>
      </c>
      <c r="Y444" s="136">
        <v>2.9341711409999998</v>
      </c>
    </row>
    <row r="445" spans="1:25">
      <c r="A445" s="125" t="s">
        <v>52</v>
      </c>
      <c r="B445" t="s">
        <v>75</v>
      </c>
      <c r="C445" s="186" t="s">
        <v>113</v>
      </c>
      <c r="D445" t="s">
        <v>219</v>
      </c>
      <c r="E445" t="s">
        <v>376</v>
      </c>
      <c r="F445" s="134">
        <v>7.4281361155555539</v>
      </c>
      <c r="G445" s="135">
        <v>17.66613797944445</v>
      </c>
      <c r="H445" s="135">
        <v>24.644267389166668</v>
      </c>
      <c r="I445" s="135">
        <v>38.862215569166658</v>
      </c>
      <c r="J445" s="136">
        <v>42.154419073055543</v>
      </c>
      <c r="K445" s="135">
        <v>5.3594414999999986E-2</v>
      </c>
      <c r="L445" s="135">
        <v>1.5721686469999994</v>
      </c>
      <c r="M445" s="135">
        <v>4.2967970110000007</v>
      </c>
      <c r="N445" s="135">
        <v>4.440587131</v>
      </c>
      <c r="O445" s="135">
        <v>3.6698983440000004</v>
      </c>
      <c r="P445" s="134">
        <v>1.0690510000000001E-3</v>
      </c>
      <c r="Q445" s="135">
        <v>0.15293274500000006</v>
      </c>
      <c r="R445" s="135">
        <v>0.70550694099999967</v>
      </c>
      <c r="S445" s="135">
        <v>0.90248011500000003</v>
      </c>
      <c r="T445" s="136">
        <v>0.80921438100000043</v>
      </c>
      <c r="U445" s="135">
        <v>1.6882516E-2</v>
      </c>
      <c r="V445" s="135">
        <v>5.9285901000000002E-2</v>
      </c>
      <c r="W445" s="135">
        <v>0.70486737899999996</v>
      </c>
      <c r="X445" s="135">
        <v>1.4115529950000001</v>
      </c>
      <c r="Y445" s="136">
        <v>1.6190211550000002</v>
      </c>
    </row>
    <row r="446" spans="1:25">
      <c r="A446" s="125" t="s">
        <v>52</v>
      </c>
      <c r="B446" t="s">
        <v>75</v>
      </c>
      <c r="C446" s="186" t="s">
        <v>113</v>
      </c>
      <c r="D446" t="s">
        <v>221</v>
      </c>
      <c r="E446" t="s">
        <v>376</v>
      </c>
      <c r="F446" s="134">
        <v>3.356793441666666</v>
      </c>
      <c r="G446" s="135">
        <v>6.7765312830555517</v>
      </c>
      <c r="H446" s="135">
        <v>10.161245027499993</v>
      </c>
      <c r="I446" s="135">
        <v>16.740741955277777</v>
      </c>
      <c r="J446" s="136">
        <v>18.174613347222206</v>
      </c>
      <c r="K446" s="135">
        <v>4.6844289999999995E-3</v>
      </c>
      <c r="L446" s="135">
        <v>0.19084101500000003</v>
      </c>
      <c r="M446" s="135">
        <v>0.71119821699999985</v>
      </c>
      <c r="N446" s="135">
        <v>1.2116879410000003</v>
      </c>
      <c r="O446" s="135">
        <v>1.3193490720000003</v>
      </c>
      <c r="P446" s="134">
        <v>1.650552E-3</v>
      </c>
      <c r="Q446" s="135">
        <v>0.22861920199999994</v>
      </c>
      <c r="R446" s="135">
        <v>1.0495477529999999</v>
      </c>
      <c r="S446" s="135">
        <v>1.3422623090000005</v>
      </c>
      <c r="T446" s="136">
        <v>1.203511659000001</v>
      </c>
      <c r="U446" s="135">
        <v>2.4164913999999999E-2</v>
      </c>
      <c r="V446" s="135">
        <v>0.11404641100000001</v>
      </c>
      <c r="W446" s="135">
        <v>1.07787246</v>
      </c>
      <c r="X446" s="135">
        <v>2.2402536439999996</v>
      </c>
      <c r="Y446" s="136">
        <v>2.6606298200000005</v>
      </c>
    </row>
    <row r="447" spans="1:25">
      <c r="A447" s="125" t="s">
        <v>52</v>
      </c>
      <c r="B447" t="s">
        <v>75</v>
      </c>
      <c r="C447" s="186" t="s">
        <v>113</v>
      </c>
      <c r="D447" t="s">
        <v>223</v>
      </c>
      <c r="E447" t="s">
        <v>376</v>
      </c>
      <c r="F447" s="134">
        <v>2.0443955925000012</v>
      </c>
      <c r="G447" s="135">
        <v>2.9872492991666673</v>
      </c>
      <c r="H447" s="135">
        <v>3.3346078683333324</v>
      </c>
      <c r="I447" s="135">
        <v>3.9088994097222245</v>
      </c>
      <c r="J447" s="136">
        <v>4.1350308838888896</v>
      </c>
      <c r="K447" s="135">
        <v>5.3722752000000006E-2</v>
      </c>
      <c r="L447" s="135">
        <v>2.1894261180000005</v>
      </c>
      <c r="M447" s="135">
        <v>6.0628520989999997</v>
      </c>
      <c r="N447" s="135">
        <v>6.3594569349999999</v>
      </c>
      <c r="O447" s="135">
        <v>5.2920036250000004</v>
      </c>
      <c r="P447" s="134">
        <v>1.0386629999999998E-3</v>
      </c>
      <c r="Q447" s="135">
        <v>0.14908615399999994</v>
      </c>
      <c r="R447" s="135">
        <v>0.69223726099999927</v>
      </c>
      <c r="S447" s="135">
        <v>0.88559606399999946</v>
      </c>
      <c r="T447" s="136">
        <v>0.79428110099999993</v>
      </c>
      <c r="U447" s="135">
        <v>1.7049695E-2</v>
      </c>
      <c r="V447" s="135">
        <v>5.8975791999999992E-2</v>
      </c>
      <c r="W447" s="135">
        <v>0.66749154399999988</v>
      </c>
      <c r="X447" s="135">
        <v>1.3547642799999997</v>
      </c>
      <c r="Y447" s="136">
        <v>1.5444207570000001</v>
      </c>
    </row>
    <row r="448" spans="1:25">
      <c r="A448" s="125" t="s">
        <v>52</v>
      </c>
      <c r="B448" t="s">
        <v>75</v>
      </c>
      <c r="C448" s="186" t="s">
        <v>115</v>
      </c>
      <c r="D448" t="s">
        <v>156</v>
      </c>
      <c r="E448" t="s">
        <v>376</v>
      </c>
      <c r="F448" s="134">
        <v>3.5046098399999996</v>
      </c>
      <c r="G448" s="135">
        <v>5.229196741</v>
      </c>
      <c r="H448" s="135">
        <v>6.1110604410000011</v>
      </c>
      <c r="I448" s="135">
        <v>7.3380193269999996</v>
      </c>
      <c r="J448" s="136">
        <v>8.3162903260000007</v>
      </c>
      <c r="K448" s="135">
        <v>0</v>
      </c>
      <c r="L448" s="135">
        <v>0</v>
      </c>
      <c r="M448" s="135">
        <v>0</v>
      </c>
      <c r="N448" s="135">
        <v>0</v>
      </c>
      <c r="O448" s="135">
        <v>0</v>
      </c>
      <c r="P448" s="134">
        <v>0</v>
      </c>
      <c r="Q448" s="135">
        <v>0</v>
      </c>
      <c r="R448" s="135">
        <v>0</v>
      </c>
      <c r="S448" s="135">
        <v>0</v>
      </c>
      <c r="T448" s="136">
        <v>0</v>
      </c>
      <c r="U448" s="135">
        <v>6.4505640000000003E-2</v>
      </c>
      <c r="V448" s="135">
        <v>0.32952584699999998</v>
      </c>
      <c r="W448" s="135">
        <v>5.3055417560000002</v>
      </c>
      <c r="X448" s="135">
        <v>10.422500744000001</v>
      </c>
      <c r="Y448" s="136">
        <v>13.199504375</v>
      </c>
    </row>
    <row r="449" spans="1:25">
      <c r="A449" s="125" t="s">
        <v>52</v>
      </c>
      <c r="B449" t="s">
        <v>75</v>
      </c>
      <c r="C449" s="186" t="s">
        <v>160</v>
      </c>
      <c r="D449" t="s">
        <v>158</v>
      </c>
      <c r="E449" t="s">
        <v>376</v>
      </c>
      <c r="F449" s="134">
        <v>0.49120099599999995</v>
      </c>
      <c r="G449" s="135">
        <v>0.78823535</v>
      </c>
      <c r="H449" s="135">
        <v>0.96538822099999999</v>
      </c>
      <c r="I449" s="135">
        <v>1.1449770749999999</v>
      </c>
      <c r="J449" s="136">
        <v>1.210467682</v>
      </c>
      <c r="K449" s="135">
        <v>0</v>
      </c>
      <c r="L449" s="135">
        <v>5.452E-5</v>
      </c>
      <c r="M449" s="135">
        <v>1.0564433999999999E-2</v>
      </c>
      <c r="N449" s="135">
        <v>2.0105188999999999E-2</v>
      </c>
      <c r="O449" s="135">
        <v>1.9684216000000001E-2</v>
      </c>
      <c r="P449" s="134">
        <v>0</v>
      </c>
      <c r="Q449" s="135">
        <v>0</v>
      </c>
      <c r="R449" s="135">
        <v>5.4150600000000011E-3</v>
      </c>
      <c r="S449" s="135">
        <v>4.1540845E-2</v>
      </c>
      <c r="T449" s="136">
        <v>0.11138603999999999</v>
      </c>
      <c r="U449" s="135">
        <v>9.4336469999999999E-3</v>
      </c>
      <c r="V449" s="135">
        <v>3.8083894E-2</v>
      </c>
      <c r="W449" s="135">
        <v>0.40105523599999998</v>
      </c>
      <c r="X449" s="135">
        <v>0.83748942699999995</v>
      </c>
      <c r="Y449" s="136">
        <v>0.98916705900000002</v>
      </c>
    </row>
    <row r="450" spans="1:25">
      <c r="A450" s="125" t="s">
        <v>52</v>
      </c>
      <c r="B450" t="s">
        <v>75</v>
      </c>
      <c r="C450" s="186" t="s">
        <v>227</v>
      </c>
      <c r="D450" t="s">
        <v>225</v>
      </c>
      <c r="E450" t="s">
        <v>376</v>
      </c>
      <c r="F450" s="134">
        <v>0.59165775000000009</v>
      </c>
      <c r="G450" s="135">
        <v>1.0200585510000002</v>
      </c>
      <c r="H450" s="135">
        <v>1.4222880849999999</v>
      </c>
      <c r="I450" s="135">
        <v>1.8828241879999998</v>
      </c>
      <c r="J450" s="136">
        <v>2.1567121309999999</v>
      </c>
      <c r="K450" s="135">
        <v>1.1535769999999998E-3</v>
      </c>
      <c r="L450" s="135">
        <v>5.4093498000000004E-2</v>
      </c>
      <c r="M450" s="135">
        <v>0.14406853600000002</v>
      </c>
      <c r="N450" s="135">
        <v>0.167526182</v>
      </c>
      <c r="O450" s="135">
        <v>0.17466916500000002</v>
      </c>
      <c r="P450" s="134">
        <v>2.32764E-4</v>
      </c>
      <c r="Q450" s="135">
        <v>6.985624000000001E-3</v>
      </c>
      <c r="R450" s="135">
        <v>5.8299772999999999E-2</v>
      </c>
      <c r="S450" s="135">
        <v>9.4482994000000001E-2</v>
      </c>
      <c r="T450" s="136">
        <v>0.16263441300000001</v>
      </c>
      <c r="U450" s="135">
        <v>0</v>
      </c>
      <c r="V450" s="135">
        <v>4.6076100000000002E-4</v>
      </c>
      <c r="W450" s="135">
        <v>0.36642448800000005</v>
      </c>
      <c r="X450" s="135">
        <v>0.67961941199999998</v>
      </c>
      <c r="Y450" s="136">
        <v>0.93551997100000006</v>
      </c>
    </row>
    <row r="451" spans="1:25">
      <c r="A451" s="125" t="s">
        <v>52</v>
      </c>
      <c r="B451" t="s">
        <v>75</v>
      </c>
      <c r="C451" s="186" t="s">
        <v>227</v>
      </c>
      <c r="D451" t="s">
        <v>228</v>
      </c>
      <c r="E451" t="s">
        <v>376</v>
      </c>
      <c r="F451" s="134">
        <v>4.3275209999999995E-2</v>
      </c>
      <c r="G451" s="135">
        <v>7.179437000000001E-2</v>
      </c>
      <c r="H451" s="135">
        <v>9.6198111999999988E-2</v>
      </c>
      <c r="I451" s="135">
        <v>0.12424632099999999</v>
      </c>
      <c r="J451" s="136">
        <v>0.146628489</v>
      </c>
      <c r="K451" s="135">
        <v>0</v>
      </c>
      <c r="L451" s="135">
        <v>0</v>
      </c>
      <c r="M451" s="135">
        <v>7.5642810000000008E-3</v>
      </c>
      <c r="N451" s="135">
        <v>3.0785714999999998E-2</v>
      </c>
      <c r="O451" s="135">
        <v>5.0440275999999999E-2</v>
      </c>
      <c r="P451" s="134">
        <v>2.8580000000000001E-5</v>
      </c>
      <c r="Q451" s="135">
        <v>1.9024579999999999E-3</v>
      </c>
      <c r="R451" s="135">
        <v>1.4041238000000001E-2</v>
      </c>
      <c r="S451" s="135">
        <v>2.4132969999999997E-2</v>
      </c>
      <c r="T451" s="136">
        <v>4.5158136999999994E-2</v>
      </c>
      <c r="U451" s="135">
        <v>0</v>
      </c>
      <c r="V451" s="135">
        <v>0</v>
      </c>
      <c r="W451" s="135">
        <v>0.336440089</v>
      </c>
      <c r="X451" s="135">
        <v>0.62271427099999999</v>
      </c>
      <c r="Y451" s="136">
        <v>0.85490467400000003</v>
      </c>
    </row>
    <row r="452" spans="1:25">
      <c r="A452" s="125" t="s">
        <v>52</v>
      </c>
      <c r="B452" t="s">
        <v>75</v>
      </c>
      <c r="C452" s="186" t="s">
        <v>227</v>
      </c>
      <c r="D452" t="s">
        <v>230</v>
      </c>
      <c r="E452" t="s">
        <v>376</v>
      </c>
      <c r="F452" s="134">
        <v>0.93653741999999984</v>
      </c>
      <c r="G452" s="135">
        <v>2.1187840989999995</v>
      </c>
      <c r="H452" s="135">
        <v>4.1099618870000008</v>
      </c>
      <c r="I452" s="135">
        <v>6.4601310589999983</v>
      </c>
      <c r="J452" s="136">
        <v>8.1120203810000007</v>
      </c>
      <c r="K452" s="135">
        <v>0</v>
      </c>
      <c r="L452" s="135">
        <v>0</v>
      </c>
      <c r="M452" s="135">
        <v>2.5685360000000001E-2</v>
      </c>
      <c r="N452" s="135">
        <v>9.2415698000000004E-2</v>
      </c>
      <c r="O452" s="135">
        <v>0.14888827100000002</v>
      </c>
      <c r="P452" s="134">
        <v>1.30901E-4</v>
      </c>
      <c r="Q452" s="135">
        <v>4.2195510000000002E-3</v>
      </c>
      <c r="R452" s="135">
        <v>3.3839704999999998E-2</v>
      </c>
      <c r="S452" s="135">
        <v>5.5251427999999991E-2</v>
      </c>
      <c r="T452" s="136">
        <v>9.7181961000000011E-2</v>
      </c>
      <c r="U452" s="135">
        <v>0</v>
      </c>
      <c r="V452" s="135">
        <v>2.3752220000000002E-3</v>
      </c>
      <c r="W452" s="135">
        <v>0.107544892</v>
      </c>
      <c r="X452" s="135">
        <v>0.194358209</v>
      </c>
      <c r="Y452" s="136">
        <v>0.26437702800000001</v>
      </c>
    </row>
    <row r="453" spans="1:25">
      <c r="A453" s="125" t="s">
        <v>52</v>
      </c>
      <c r="B453" t="s">
        <v>75</v>
      </c>
      <c r="C453" s="186" t="s">
        <v>227</v>
      </c>
      <c r="D453" t="s">
        <v>232</v>
      </c>
      <c r="E453" t="s">
        <v>376</v>
      </c>
      <c r="F453" s="134">
        <v>1.5163509350000002</v>
      </c>
      <c r="G453" s="135">
        <v>2.5129239400000003</v>
      </c>
      <c r="H453" s="135">
        <v>3.0104287709999999</v>
      </c>
      <c r="I453" s="135">
        <v>3.488965796</v>
      </c>
      <c r="J453" s="136">
        <v>3.7259720349999998</v>
      </c>
      <c r="K453" s="135">
        <v>1.1779869999999999E-3</v>
      </c>
      <c r="L453" s="135">
        <v>5.5238521999999998E-2</v>
      </c>
      <c r="M453" s="135">
        <v>0.16320530999999999</v>
      </c>
      <c r="N453" s="135">
        <v>0.23654527800000003</v>
      </c>
      <c r="O453" s="135">
        <v>0.28563945699999999</v>
      </c>
      <c r="P453" s="134">
        <v>5.7899999999999998E-5</v>
      </c>
      <c r="Q453" s="135">
        <v>3.6956999999999997E-3</v>
      </c>
      <c r="R453" s="135">
        <v>2.4936093999999999E-2</v>
      </c>
      <c r="S453" s="135">
        <v>4.1718323000000002E-2</v>
      </c>
      <c r="T453" s="136">
        <v>7.4595017E-2</v>
      </c>
      <c r="U453" s="135">
        <v>0</v>
      </c>
      <c r="V453" s="135">
        <v>0.30906356699999998</v>
      </c>
      <c r="W453" s="135">
        <v>0.68360886700000001</v>
      </c>
      <c r="X453" s="135">
        <v>1.0066042289999999</v>
      </c>
      <c r="Y453" s="136">
        <v>1.2797448609999997</v>
      </c>
    </row>
    <row r="454" spans="1:25">
      <c r="A454" s="125" t="s">
        <v>52</v>
      </c>
      <c r="B454" t="s">
        <v>75</v>
      </c>
      <c r="C454" s="186" t="s">
        <v>301</v>
      </c>
      <c r="D454" t="s">
        <v>299</v>
      </c>
      <c r="E454" t="s">
        <v>376</v>
      </c>
      <c r="F454" s="134">
        <v>1.3110876449999997</v>
      </c>
      <c r="G454" s="135">
        <v>3.5900166190000005</v>
      </c>
      <c r="H454" s="135">
        <v>6.0605476520000003</v>
      </c>
      <c r="I454" s="135">
        <v>9.0688011720000006</v>
      </c>
      <c r="J454" s="136">
        <v>11.440006202999998</v>
      </c>
      <c r="K454" s="135">
        <v>2.9255700000000004E-4</v>
      </c>
      <c r="L454" s="135">
        <v>0.11452909999999999</v>
      </c>
      <c r="M454" s="135">
        <v>0.44555557099999998</v>
      </c>
      <c r="N454" s="135">
        <v>0.53992049900000005</v>
      </c>
      <c r="O454" s="135">
        <v>0.54610111500000003</v>
      </c>
      <c r="P454" s="134">
        <v>5.5060000000000005E-5</v>
      </c>
      <c r="Q454" s="135">
        <v>5.7673480000000003E-3</v>
      </c>
      <c r="R454" s="135">
        <v>0.13717219600000002</v>
      </c>
      <c r="S454" s="135">
        <v>0.29053565000000003</v>
      </c>
      <c r="T454" s="136">
        <v>0.40601390199999993</v>
      </c>
      <c r="U454" s="135">
        <v>4.1410755E-2</v>
      </c>
      <c r="V454" s="135">
        <v>0.146586934</v>
      </c>
      <c r="W454" s="135">
        <v>1.8661650470000002</v>
      </c>
      <c r="X454" s="135">
        <v>3.88712933</v>
      </c>
      <c r="Y454" s="136">
        <v>4.6385662860000005</v>
      </c>
    </row>
    <row r="455" spans="1:25">
      <c r="A455" s="125" t="s">
        <v>52</v>
      </c>
      <c r="B455" t="s">
        <v>75</v>
      </c>
      <c r="C455" s="186" t="s">
        <v>301</v>
      </c>
      <c r="D455" t="s">
        <v>302</v>
      </c>
      <c r="E455" t="s">
        <v>376</v>
      </c>
      <c r="F455" s="134">
        <v>1.6614154819999998</v>
      </c>
      <c r="G455" s="135">
        <v>3.4840082600000004</v>
      </c>
      <c r="H455" s="135">
        <v>6.1021997799999994</v>
      </c>
      <c r="I455" s="135">
        <v>9.9984497559999994</v>
      </c>
      <c r="J455" s="136">
        <v>13.125824896999996</v>
      </c>
      <c r="K455" s="135">
        <v>2.3006600000000002E-4</v>
      </c>
      <c r="L455" s="135">
        <v>9.0034812000000006E-2</v>
      </c>
      <c r="M455" s="135">
        <v>0.376283908</v>
      </c>
      <c r="N455" s="135">
        <v>0.51300139599999994</v>
      </c>
      <c r="O455" s="135">
        <v>0.55084672199999996</v>
      </c>
      <c r="P455" s="134">
        <v>5.3770000000000002E-5</v>
      </c>
      <c r="Q455" s="135">
        <v>7.6185559999999994E-3</v>
      </c>
      <c r="R455" s="135">
        <v>0.18659419099999996</v>
      </c>
      <c r="S455" s="135">
        <v>0.42054160100000004</v>
      </c>
      <c r="T455" s="136">
        <v>0.60254153200000005</v>
      </c>
      <c r="U455" s="135">
        <v>4.2070234999999997E-2</v>
      </c>
      <c r="V455" s="135">
        <v>0.14887568200000001</v>
      </c>
      <c r="W455" s="135">
        <v>1.8818370710000001</v>
      </c>
      <c r="X455" s="135">
        <v>3.9213482210000001</v>
      </c>
      <c r="Y455" s="136">
        <v>4.6720409549999999</v>
      </c>
    </row>
    <row r="456" spans="1:25">
      <c r="A456" s="125" t="s">
        <v>52</v>
      </c>
      <c r="B456" t="s">
        <v>75</v>
      </c>
      <c r="C456" s="186" t="s">
        <v>301</v>
      </c>
      <c r="D456" t="s">
        <v>304</v>
      </c>
      <c r="E456" t="s">
        <v>376</v>
      </c>
      <c r="F456" s="134">
        <v>0.43146082199999997</v>
      </c>
      <c r="G456" s="135">
        <v>0.73537666499999987</v>
      </c>
      <c r="H456" s="135">
        <v>1.0862307290000002</v>
      </c>
      <c r="I456" s="135">
        <v>1.557407682</v>
      </c>
      <c r="J456" s="136">
        <v>1.9263037740000002</v>
      </c>
      <c r="K456" s="135">
        <v>6.7259600000000002E-4</v>
      </c>
      <c r="L456" s="135">
        <v>0.26328828800000004</v>
      </c>
      <c r="M456" s="135">
        <v>0.92341205699999995</v>
      </c>
      <c r="N456" s="135">
        <v>0.89792577800000006</v>
      </c>
      <c r="O456" s="135">
        <v>0.78425908900000008</v>
      </c>
      <c r="P456" s="134">
        <v>4.0179999999999998E-5</v>
      </c>
      <c r="Q456" s="135">
        <v>4.273705E-3</v>
      </c>
      <c r="R456" s="135">
        <v>0.111160746</v>
      </c>
      <c r="S456" s="135">
        <v>0.24847866299999999</v>
      </c>
      <c r="T456" s="136">
        <v>0.36374827499999995</v>
      </c>
      <c r="U456" s="135">
        <v>1.7419351E-2</v>
      </c>
      <c r="V456" s="135">
        <v>6.1341403000000003E-2</v>
      </c>
      <c r="W456" s="135">
        <v>1.8548781939999999</v>
      </c>
      <c r="X456" s="135">
        <v>3.6338594840000003</v>
      </c>
      <c r="Y456" s="136">
        <v>4.7190047740000001</v>
      </c>
    </row>
    <row r="457" spans="1:25">
      <c r="A457" s="125" t="s">
        <v>52</v>
      </c>
      <c r="B457" t="s">
        <v>75</v>
      </c>
      <c r="C457" s="186" t="s">
        <v>301</v>
      </c>
      <c r="D457" t="s">
        <v>306</v>
      </c>
      <c r="E457" t="s">
        <v>376</v>
      </c>
      <c r="F457" s="134">
        <v>1.36235576</v>
      </c>
      <c r="G457" s="135">
        <v>2.7374088129999996</v>
      </c>
      <c r="H457" s="135">
        <v>4.7379353589999997</v>
      </c>
      <c r="I457" s="135">
        <v>7.7382999079999992</v>
      </c>
      <c r="J457" s="136">
        <v>9.9951759300000003</v>
      </c>
      <c r="K457" s="135">
        <v>4.8881E-4</v>
      </c>
      <c r="L457" s="135">
        <v>0.19830558399999998</v>
      </c>
      <c r="M457" s="135">
        <v>0.70703113699999998</v>
      </c>
      <c r="N457" s="135">
        <v>0.75812764399999999</v>
      </c>
      <c r="O457" s="135">
        <v>0.71224473300000002</v>
      </c>
      <c r="P457" s="134">
        <v>1.5474999999999999E-4</v>
      </c>
      <c r="Q457" s="135">
        <v>2.0130508000000002E-2</v>
      </c>
      <c r="R457" s="135">
        <v>0.47459357000000002</v>
      </c>
      <c r="S457" s="135">
        <v>1.0494344549999999</v>
      </c>
      <c r="T457" s="136">
        <v>1.4658696719999997</v>
      </c>
      <c r="U457" s="135">
        <v>0.11140653</v>
      </c>
      <c r="V457" s="135">
        <v>0.39350618500000001</v>
      </c>
      <c r="W457" s="135">
        <v>4.6340474700000005</v>
      </c>
      <c r="X457" s="135">
        <v>9.7370730259999991</v>
      </c>
      <c r="Y457" s="136">
        <v>11.481698683000001</v>
      </c>
    </row>
    <row r="458" spans="1:25">
      <c r="A458" s="125" t="s">
        <v>52</v>
      </c>
      <c r="B458" t="s">
        <v>75</v>
      </c>
      <c r="C458" s="186" t="s">
        <v>301</v>
      </c>
      <c r="D458" t="s">
        <v>308</v>
      </c>
      <c r="E458" t="s">
        <v>376</v>
      </c>
      <c r="F458" s="134">
        <v>3.2284243319999995</v>
      </c>
      <c r="G458" s="135">
        <v>6.5706952989999996</v>
      </c>
      <c r="H458" s="135">
        <v>11.563364617999998</v>
      </c>
      <c r="I458" s="135">
        <v>18.859197308999999</v>
      </c>
      <c r="J458" s="136">
        <v>24.103693159999999</v>
      </c>
      <c r="K458" s="135">
        <v>7.8760400000000002E-4</v>
      </c>
      <c r="L458" s="135">
        <v>0.30831337999999997</v>
      </c>
      <c r="M458" s="135">
        <v>1.2413096800000001</v>
      </c>
      <c r="N458" s="135">
        <v>1.5959713210000002</v>
      </c>
      <c r="O458" s="135">
        <v>1.665691638</v>
      </c>
      <c r="P458" s="134">
        <v>2.25555E-4</v>
      </c>
      <c r="Q458" s="135">
        <v>2.8206191000000002E-2</v>
      </c>
      <c r="R458" s="135">
        <v>0.71615295200000006</v>
      </c>
      <c r="S458" s="135">
        <v>1.5931206100000002</v>
      </c>
      <c r="T458" s="136">
        <v>2.323205969</v>
      </c>
      <c r="U458" s="135">
        <v>6.2514095000000006E-2</v>
      </c>
      <c r="V458" s="135">
        <v>0.22072271299999999</v>
      </c>
      <c r="W458" s="135">
        <v>4.5939127079999995</v>
      </c>
      <c r="X458" s="135">
        <v>9.1467509309999997</v>
      </c>
      <c r="Y458" s="136">
        <v>11.489564034000001</v>
      </c>
    </row>
    <row r="459" spans="1:25">
      <c r="A459" s="125" t="s">
        <v>52</v>
      </c>
      <c r="B459" t="s">
        <v>75</v>
      </c>
      <c r="C459" s="186" t="s">
        <v>301</v>
      </c>
      <c r="D459" t="s">
        <v>310</v>
      </c>
      <c r="E459" t="s">
        <v>376</v>
      </c>
      <c r="F459" s="134">
        <v>2.5511666909999997</v>
      </c>
      <c r="G459" s="135">
        <v>6.1083181670000002</v>
      </c>
      <c r="H459" s="135">
        <v>12.316454087999997</v>
      </c>
      <c r="I459" s="135">
        <v>21.703765175000001</v>
      </c>
      <c r="J459" s="136">
        <v>28.744809942000007</v>
      </c>
      <c r="K459" s="135">
        <v>8.7339199999999996E-4</v>
      </c>
      <c r="L459" s="135">
        <v>0.34187804500000007</v>
      </c>
      <c r="M459" s="135">
        <v>1.2414258059999996</v>
      </c>
      <c r="N459" s="135">
        <v>1.310191895</v>
      </c>
      <c r="O459" s="135">
        <v>1.216327028</v>
      </c>
      <c r="P459" s="134">
        <v>3.0068499999999997E-4</v>
      </c>
      <c r="Q459" s="135">
        <v>2.9535198999999998E-2</v>
      </c>
      <c r="R459" s="135">
        <v>0.72205351100000004</v>
      </c>
      <c r="S459" s="135">
        <v>1.5425625310000002</v>
      </c>
      <c r="T459" s="136">
        <v>2.2146870820000002</v>
      </c>
      <c r="U459" s="135">
        <v>7.3270430999999997E-2</v>
      </c>
      <c r="V459" s="135">
        <v>0.74020634699999999</v>
      </c>
      <c r="W459" s="135">
        <v>4.4968890950000002</v>
      </c>
      <c r="X459" s="135">
        <v>8.6878421249999995</v>
      </c>
      <c r="Y459" s="136">
        <v>10.529564437000001</v>
      </c>
    </row>
    <row r="460" spans="1:25">
      <c r="A460" s="125" t="s">
        <v>52</v>
      </c>
      <c r="B460" t="s">
        <v>75</v>
      </c>
      <c r="C460" s="186" t="s">
        <v>301</v>
      </c>
      <c r="D460" t="s">
        <v>312</v>
      </c>
      <c r="E460" t="s">
        <v>376</v>
      </c>
      <c r="F460" s="134">
        <v>0.24451817200000003</v>
      </c>
      <c r="G460" s="135">
        <v>0.59302181999999992</v>
      </c>
      <c r="H460" s="135">
        <v>1.2124834810000003</v>
      </c>
      <c r="I460" s="135">
        <v>2.2264636750000002</v>
      </c>
      <c r="J460" s="136">
        <v>3.0455975350000002</v>
      </c>
      <c r="K460" s="135">
        <v>2.1585300000000001E-4</v>
      </c>
      <c r="L460" s="135">
        <v>8.4484909000000011E-2</v>
      </c>
      <c r="M460" s="135">
        <v>0.29630783700000002</v>
      </c>
      <c r="N460" s="135">
        <v>0.28812970699999996</v>
      </c>
      <c r="O460" s="135">
        <v>0.251655923</v>
      </c>
      <c r="P460" s="134">
        <v>8.2844999999999997E-5</v>
      </c>
      <c r="Q460" s="135">
        <v>1.0153115000000001E-2</v>
      </c>
      <c r="R460" s="135">
        <v>0.26973593299999998</v>
      </c>
      <c r="S460" s="135">
        <v>0.61119714800000002</v>
      </c>
      <c r="T460" s="136">
        <v>0.90273648900000003</v>
      </c>
      <c r="U460" s="135">
        <v>6.2764240000000001E-3</v>
      </c>
      <c r="V460" s="135">
        <v>2.1741567999999999E-2</v>
      </c>
      <c r="W460" s="135">
        <v>0.98257213700000001</v>
      </c>
      <c r="X460" s="135">
        <v>1.8888230749999999</v>
      </c>
      <c r="Y460" s="136">
        <v>2.4920368960000001</v>
      </c>
    </row>
    <row r="461" spans="1:25">
      <c r="A461" s="125" t="s">
        <v>52</v>
      </c>
      <c r="B461" t="s">
        <v>75</v>
      </c>
      <c r="C461" s="186" t="s">
        <v>117</v>
      </c>
      <c r="D461" t="s">
        <v>161</v>
      </c>
      <c r="E461" t="s">
        <v>376</v>
      </c>
      <c r="F461" s="134">
        <v>6.6284735880000003</v>
      </c>
      <c r="G461" s="135">
        <v>13.974815707000001</v>
      </c>
      <c r="H461" s="135">
        <v>19.025614039000001</v>
      </c>
      <c r="I461" s="135">
        <v>25.021010243000003</v>
      </c>
      <c r="J461" s="136">
        <v>30.318021449</v>
      </c>
      <c r="K461" s="135">
        <v>0</v>
      </c>
      <c r="L461" s="135">
        <v>0</v>
      </c>
      <c r="M461" s="135">
        <v>3.331882E-3</v>
      </c>
      <c r="N461" s="135">
        <v>3.331882E-3</v>
      </c>
      <c r="O461" s="135">
        <v>3.2052719999999999E-3</v>
      </c>
      <c r="P461" s="134">
        <v>0</v>
      </c>
      <c r="Q461" s="135">
        <v>0</v>
      </c>
      <c r="R461" s="135">
        <v>0</v>
      </c>
      <c r="S461" s="135">
        <v>0</v>
      </c>
      <c r="T461" s="136">
        <v>0</v>
      </c>
      <c r="U461" s="135">
        <v>4.1440229000000002E-2</v>
      </c>
      <c r="V461" s="135">
        <v>0.21860307600000001</v>
      </c>
      <c r="W461" s="135">
        <v>1.9920802399999999</v>
      </c>
      <c r="X461" s="135">
        <v>4.0546389239999998</v>
      </c>
      <c r="Y461" s="136">
        <v>4.8388446160000003</v>
      </c>
    </row>
    <row r="462" spans="1:25">
      <c r="A462" s="125" t="s">
        <v>52</v>
      </c>
      <c r="B462" t="s">
        <v>75</v>
      </c>
      <c r="C462" s="186" t="s">
        <v>117</v>
      </c>
      <c r="D462" t="s">
        <v>163</v>
      </c>
      <c r="E462" t="s">
        <v>376</v>
      </c>
      <c r="F462" s="134">
        <v>5.8616729999999995E-3</v>
      </c>
      <c r="G462" s="135">
        <v>1.1564982E-2</v>
      </c>
      <c r="H462" s="135">
        <v>1.4400282E-2</v>
      </c>
      <c r="I462" s="135">
        <v>1.7482214999999999E-2</v>
      </c>
      <c r="J462" s="136">
        <v>2.0099543000000001E-2</v>
      </c>
      <c r="K462" s="135">
        <v>0</v>
      </c>
      <c r="L462" s="135">
        <v>0</v>
      </c>
      <c r="M462" s="135">
        <v>0</v>
      </c>
      <c r="N462" s="135">
        <v>0</v>
      </c>
      <c r="O462" s="135">
        <v>0</v>
      </c>
      <c r="P462" s="134">
        <v>0</v>
      </c>
      <c r="Q462" s="135">
        <v>0</v>
      </c>
      <c r="R462" s="135">
        <v>0</v>
      </c>
      <c r="S462" s="135">
        <v>0</v>
      </c>
      <c r="T462" s="136">
        <v>0</v>
      </c>
      <c r="U462" s="135">
        <v>0</v>
      </c>
      <c r="V462" s="135">
        <v>0</v>
      </c>
      <c r="W462" s="135">
        <v>2.9140999999999998E-4</v>
      </c>
      <c r="X462" s="135">
        <v>5.3856599999999998E-4</v>
      </c>
      <c r="Y462" s="136">
        <v>7.3798500000000003E-4</v>
      </c>
    </row>
    <row r="463" spans="1:25">
      <c r="A463" s="125" t="s">
        <v>52</v>
      </c>
      <c r="B463" t="s">
        <v>75</v>
      </c>
      <c r="C463" s="186" t="s">
        <v>119</v>
      </c>
      <c r="D463" t="s">
        <v>165</v>
      </c>
      <c r="E463" t="s">
        <v>376</v>
      </c>
      <c r="F463" s="134">
        <v>6.410503898</v>
      </c>
      <c r="G463" s="135">
        <v>12.307279343999999</v>
      </c>
      <c r="H463" s="135">
        <v>19.447411502000005</v>
      </c>
      <c r="I463" s="135">
        <v>28.314187695999998</v>
      </c>
      <c r="J463" s="136">
        <v>34.633439063999994</v>
      </c>
      <c r="K463" s="135">
        <v>1.7838000000000001E-4</v>
      </c>
      <c r="L463" s="135">
        <v>1.2060188000000001</v>
      </c>
      <c r="M463" s="135">
        <v>4.828644143</v>
      </c>
      <c r="N463" s="135">
        <v>7.0880102410000001</v>
      </c>
      <c r="O463" s="135">
        <v>6.122428663</v>
      </c>
      <c r="P463" s="134">
        <v>5.8261090000000003E-3</v>
      </c>
      <c r="Q463" s="135">
        <v>0.52523465599999997</v>
      </c>
      <c r="R463" s="135">
        <v>2.9057724459999998</v>
      </c>
      <c r="S463" s="135">
        <v>4.1105077659999996</v>
      </c>
      <c r="T463" s="136">
        <v>4.9766489680000001</v>
      </c>
      <c r="U463" s="135">
        <v>3.1770703999999997E-2</v>
      </c>
      <c r="V463" s="135">
        <v>0.13174945999999998</v>
      </c>
      <c r="W463" s="135">
        <v>4.839738595</v>
      </c>
      <c r="X463" s="135">
        <v>9.2775567379999995</v>
      </c>
      <c r="Y463" s="136">
        <v>12.201215707000001</v>
      </c>
    </row>
    <row r="464" spans="1:25">
      <c r="A464" s="125" t="s">
        <v>52</v>
      </c>
      <c r="B464" t="s">
        <v>75</v>
      </c>
      <c r="C464" s="186" t="s">
        <v>119</v>
      </c>
      <c r="D464" t="s">
        <v>167</v>
      </c>
      <c r="E464" t="s">
        <v>376</v>
      </c>
      <c r="F464" s="134">
        <v>0.32706849999999998</v>
      </c>
      <c r="G464" s="135">
        <v>0.57450383199999999</v>
      </c>
      <c r="H464" s="135">
        <v>0.80790436399999999</v>
      </c>
      <c r="I464" s="135">
        <v>1.049256636</v>
      </c>
      <c r="J464" s="136">
        <v>1.145314537</v>
      </c>
      <c r="K464" s="135">
        <v>0</v>
      </c>
      <c r="L464" s="135">
        <v>0</v>
      </c>
      <c r="M464" s="135">
        <v>0.10287284700000002</v>
      </c>
      <c r="N464" s="135">
        <v>0.52852786200000001</v>
      </c>
      <c r="O464" s="135">
        <v>0.71740091700000008</v>
      </c>
      <c r="P464" s="134">
        <v>7.6677699999999995E-4</v>
      </c>
      <c r="Q464" s="135">
        <v>6.5996447999999999E-2</v>
      </c>
      <c r="R464" s="135">
        <v>0.36089717999999998</v>
      </c>
      <c r="S464" s="135">
        <v>0.50867939799999995</v>
      </c>
      <c r="T464" s="136">
        <v>0.60928052600000004</v>
      </c>
      <c r="U464" s="135">
        <v>5.0791663000000001E-2</v>
      </c>
      <c r="V464" s="135">
        <v>0.186199799</v>
      </c>
      <c r="W464" s="135">
        <v>2.1294579039999997</v>
      </c>
      <c r="X464" s="135">
        <v>4.4602553260000004</v>
      </c>
      <c r="Y464" s="136">
        <v>5.25800907</v>
      </c>
    </row>
    <row r="465" spans="1:25">
      <c r="A465" s="125" t="s">
        <v>52</v>
      </c>
      <c r="B465" t="s">
        <v>75</v>
      </c>
      <c r="C465" s="186" t="s">
        <v>119</v>
      </c>
      <c r="D465" t="s">
        <v>169</v>
      </c>
      <c r="E465" t="s">
        <v>376</v>
      </c>
      <c r="F465" s="134">
        <v>0.77050647600000011</v>
      </c>
      <c r="G465" s="135">
        <v>1.360598193</v>
      </c>
      <c r="H465" s="135">
        <v>1.862371013</v>
      </c>
      <c r="I465" s="135">
        <v>2.3700231299999999</v>
      </c>
      <c r="J465" s="136">
        <v>2.60801288</v>
      </c>
      <c r="K465" s="135">
        <v>0</v>
      </c>
      <c r="L465" s="135">
        <v>0</v>
      </c>
      <c r="M465" s="135">
        <v>0.27464756699999998</v>
      </c>
      <c r="N465" s="135">
        <v>1.4110517309999999</v>
      </c>
      <c r="O465" s="135">
        <v>1.9153007469999999</v>
      </c>
      <c r="P465" s="134">
        <v>6.1247199999999997E-4</v>
      </c>
      <c r="Q465" s="135">
        <v>5.7605261999999997E-2</v>
      </c>
      <c r="R465" s="135">
        <v>0.31586946799999999</v>
      </c>
      <c r="S465" s="135">
        <v>0.44952578300000001</v>
      </c>
      <c r="T465" s="136">
        <v>0.53931921299999996</v>
      </c>
      <c r="U465" s="135">
        <v>4.6697232999999998E-2</v>
      </c>
      <c r="V465" s="135">
        <v>0.20112335099999998</v>
      </c>
      <c r="W465" s="135">
        <v>2.009616303</v>
      </c>
      <c r="X465" s="135">
        <v>4.1687565649999998</v>
      </c>
      <c r="Y465" s="136">
        <v>4.9156118879999999</v>
      </c>
    </row>
    <row r="466" spans="1:25">
      <c r="A466" s="125" t="s">
        <v>52</v>
      </c>
      <c r="B466" t="s">
        <v>75</v>
      </c>
      <c r="C466" s="186" t="s">
        <v>119</v>
      </c>
      <c r="D466" t="s">
        <v>171</v>
      </c>
      <c r="E466" t="s">
        <v>376</v>
      </c>
      <c r="F466" s="134">
        <v>3.0493601469999994</v>
      </c>
      <c r="G466" s="135">
        <v>8.4715930010000022</v>
      </c>
      <c r="H466" s="135">
        <v>18.906660256999999</v>
      </c>
      <c r="I466" s="135">
        <v>35.603401058999992</v>
      </c>
      <c r="J466" s="136">
        <v>48.645223961999989</v>
      </c>
      <c r="K466" s="135">
        <v>3.9900000000000001E-5</v>
      </c>
      <c r="L466" s="135">
        <v>0.26971303600000002</v>
      </c>
      <c r="M466" s="135">
        <v>1.193257582</v>
      </c>
      <c r="N466" s="135">
        <v>2.1676857360000001</v>
      </c>
      <c r="O466" s="135">
        <v>2.1599146669999998</v>
      </c>
      <c r="P466" s="134">
        <v>4.4575700000000002E-4</v>
      </c>
      <c r="Q466" s="135">
        <v>4.6951180000000002E-2</v>
      </c>
      <c r="R466" s="135">
        <v>0.25892918300000001</v>
      </c>
      <c r="S466" s="135">
        <v>0.372049305</v>
      </c>
      <c r="T466" s="136">
        <v>0.44792861799999995</v>
      </c>
      <c r="U466" s="135">
        <v>3.7834606E-2</v>
      </c>
      <c r="V466" s="135">
        <v>0.142323162</v>
      </c>
      <c r="W466" s="135">
        <v>1.601329118</v>
      </c>
      <c r="X466" s="135">
        <v>3.3474829100000001</v>
      </c>
      <c r="Y466" s="136">
        <v>3.9499510309999999</v>
      </c>
    </row>
    <row r="467" spans="1:25">
      <c r="A467" s="125" t="s">
        <v>52</v>
      </c>
      <c r="B467" t="s">
        <v>75</v>
      </c>
      <c r="C467" s="186" t="s">
        <v>119</v>
      </c>
      <c r="D467" t="s">
        <v>173</v>
      </c>
      <c r="E467" t="s">
        <v>376</v>
      </c>
      <c r="F467" s="134">
        <v>2.643307278</v>
      </c>
      <c r="G467" s="135">
        <v>5.4727360419999993</v>
      </c>
      <c r="H467" s="135">
        <v>7.853143792</v>
      </c>
      <c r="I467" s="135">
        <v>10.407106260999999</v>
      </c>
      <c r="J467" s="136">
        <v>11.286624711</v>
      </c>
      <c r="K467" s="135">
        <v>5.8799999999999999E-5</v>
      </c>
      <c r="L467" s="135">
        <v>0.397263211</v>
      </c>
      <c r="M467" s="135">
        <v>1.7199853269999998</v>
      </c>
      <c r="N467" s="135">
        <v>2.9997513570000001</v>
      </c>
      <c r="O467" s="135">
        <v>2.9193153140000003</v>
      </c>
      <c r="P467" s="134">
        <v>8.940450000000001E-4</v>
      </c>
      <c r="Q467" s="135">
        <v>7.1443273000000002E-2</v>
      </c>
      <c r="R467" s="135">
        <v>0.39210524000000002</v>
      </c>
      <c r="S467" s="135">
        <v>0.556028046</v>
      </c>
      <c r="T467" s="136">
        <v>0.66951831500000014</v>
      </c>
      <c r="U467" s="135">
        <v>6.1105481000000003E-2</v>
      </c>
      <c r="V467" s="135">
        <v>0.25360174200000002</v>
      </c>
      <c r="W467" s="135">
        <v>2.79728413</v>
      </c>
      <c r="X467" s="135">
        <v>5.7741783340000001</v>
      </c>
      <c r="Y467" s="136">
        <v>6.8740894460000002</v>
      </c>
    </row>
    <row r="468" spans="1:25">
      <c r="A468" s="125" t="s">
        <v>52</v>
      </c>
      <c r="B468" t="s">
        <v>75</v>
      </c>
      <c r="C468" s="186" t="s">
        <v>119</v>
      </c>
      <c r="D468" t="s">
        <v>175</v>
      </c>
      <c r="E468" t="s">
        <v>376</v>
      </c>
      <c r="F468" s="134">
        <v>2.6597766100000002</v>
      </c>
      <c r="G468" s="135">
        <v>5.5682008940000003</v>
      </c>
      <c r="H468" s="135">
        <v>9.5871842730000001</v>
      </c>
      <c r="I468" s="135">
        <v>14.317669501000001</v>
      </c>
      <c r="J468" s="136">
        <v>17.067950389</v>
      </c>
      <c r="K468" s="135">
        <v>3.6099999999999997E-5</v>
      </c>
      <c r="L468" s="135">
        <v>0.24376684499999998</v>
      </c>
      <c r="M468" s="135">
        <v>1.203707098</v>
      </c>
      <c r="N468" s="135">
        <v>2.6032681019999999</v>
      </c>
      <c r="O468" s="135">
        <v>2.8265115540000001</v>
      </c>
      <c r="P468" s="134">
        <v>1.0155259999999999E-3</v>
      </c>
      <c r="Q468" s="135">
        <v>0.109909889</v>
      </c>
      <c r="R468" s="135">
        <v>0.60669532999999998</v>
      </c>
      <c r="S468" s="135">
        <v>0.87408697699999993</v>
      </c>
      <c r="T468" s="136">
        <v>1.054646765</v>
      </c>
      <c r="U468" s="135">
        <v>6.7584009E-2</v>
      </c>
      <c r="V468" s="135">
        <v>0.28825892800000003</v>
      </c>
      <c r="W468" s="135">
        <v>3.2398875629999999</v>
      </c>
      <c r="X468" s="135">
        <v>6.650862805</v>
      </c>
      <c r="Y468" s="136">
        <v>7.965497557</v>
      </c>
    </row>
    <row r="469" spans="1:25">
      <c r="A469" s="125" t="s">
        <v>52</v>
      </c>
      <c r="B469" t="s">
        <v>75</v>
      </c>
      <c r="C469" s="186" t="s">
        <v>119</v>
      </c>
      <c r="D469" t="s">
        <v>177</v>
      </c>
      <c r="E469" t="s">
        <v>376</v>
      </c>
      <c r="F469" s="134">
        <v>2.6810986949999998</v>
      </c>
      <c r="G469" s="135">
        <v>5.7881422899999988</v>
      </c>
      <c r="H469" s="135">
        <v>10.44670151</v>
      </c>
      <c r="I469" s="135">
        <v>17.545362984</v>
      </c>
      <c r="J469" s="136">
        <v>22.993798067999997</v>
      </c>
      <c r="K469" s="135">
        <v>5.5099999999999998E-5</v>
      </c>
      <c r="L469" s="135">
        <v>0.37292265400000002</v>
      </c>
      <c r="M469" s="135">
        <v>1.493103418</v>
      </c>
      <c r="N469" s="135">
        <v>2.19173996</v>
      </c>
      <c r="O469" s="135">
        <v>1.8931648079999999</v>
      </c>
      <c r="P469" s="134">
        <v>1.0389069999999999E-3</v>
      </c>
      <c r="Q469" s="135">
        <v>9.5403048000000004E-2</v>
      </c>
      <c r="R469" s="135">
        <v>0.53745673299999996</v>
      </c>
      <c r="S469" s="135">
        <v>0.77726736100000005</v>
      </c>
      <c r="T469" s="136">
        <v>0.94699889900000012</v>
      </c>
      <c r="U469" s="135">
        <v>3.8715685999999999E-2</v>
      </c>
      <c r="V469" s="135">
        <v>0.154007533</v>
      </c>
      <c r="W469" s="135">
        <v>1.8667176900000002</v>
      </c>
      <c r="X469" s="135">
        <v>3.8425432819999998</v>
      </c>
      <c r="Y469" s="136">
        <v>4.6138754579999999</v>
      </c>
    </row>
    <row r="470" spans="1:25">
      <c r="A470" s="125" t="s">
        <v>52</v>
      </c>
      <c r="B470" t="s">
        <v>75</v>
      </c>
      <c r="C470" s="186" t="s">
        <v>119</v>
      </c>
      <c r="D470" t="s">
        <v>179</v>
      </c>
      <c r="E470" t="s">
        <v>376</v>
      </c>
      <c r="F470" s="134">
        <v>1.0834188630000001</v>
      </c>
      <c r="G470" s="135">
        <v>1.8545267099999998</v>
      </c>
      <c r="H470" s="135">
        <v>2.4321662380000002</v>
      </c>
      <c r="I470" s="135">
        <v>2.8909697460000006</v>
      </c>
      <c r="J470" s="136">
        <v>3.1801075029999999</v>
      </c>
      <c r="K470" s="135">
        <v>5.0900000000000004E-5</v>
      </c>
      <c r="L470" s="135">
        <v>0.34460545399999998</v>
      </c>
      <c r="M470" s="135">
        <v>1.379727336</v>
      </c>
      <c r="N470" s="135">
        <v>2.0253141879999998</v>
      </c>
      <c r="O470" s="135">
        <v>1.7494107949999997</v>
      </c>
      <c r="P470" s="134">
        <v>7.4579700000000019E-4</v>
      </c>
      <c r="Q470" s="135">
        <v>5.8190674000000005E-2</v>
      </c>
      <c r="R470" s="135">
        <v>0.32515232900000002</v>
      </c>
      <c r="S470" s="135">
        <v>0.46226230499999998</v>
      </c>
      <c r="T470" s="136">
        <v>0.55956229999999996</v>
      </c>
      <c r="U470" s="135">
        <v>2.5914110000000001E-3</v>
      </c>
      <c r="V470" s="135">
        <v>2.4003765E-2</v>
      </c>
      <c r="W470" s="135">
        <v>0.19981838299999999</v>
      </c>
      <c r="X470" s="135">
        <v>0.379760873</v>
      </c>
      <c r="Y470" s="136">
        <v>0.469253478</v>
      </c>
    </row>
    <row r="471" spans="1:25">
      <c r="A471" s="125" t="s">
        <v>52</v>
      </c>
      <c r="B471" t="s">
        <v>75</v>
      </c>
      <c r="C471" s="186" t="s">
        <v>119</v>
      </c>
      <c r="D471" t="s">
        <v>181</v>
      </c>
      <c r="E471" t="s">
        <v>376</v>
      </c>
      <c r="F471" s="134">
        <v>1.3797857849999999</v>
      </c>
      <c r="G471" s="135">
        <v>2.4425614549999999</v>
      </c>
      <c r="H471" s="135">
        <v>3.4309521599999999</v>
      </c>
      <c r="I471" s="135">
        <v>4.438105449</v>
      </c>
      <c r="J471" s="136">
        <v>4.8143002090000007</v>
      </c>
      <c r="K471" s="135">
        <v>1.415178E-3</v>
      </c>
      <c r="L471" s="135">
        <v>3.2731629999999999E-3</v>
      </c>
      <c r="M471" s="135">
        <v>0.62812529699999997</v>
      </c>
      <c r="N471" s="135">
        <v>3.2107475519999999</v>
      </c>
      <c r="O471" s="135">
        <v>4.356764514</v>
      </c>
      <c r="P471" s="134">
        <v>1.4557910000000001E-3</v>
      </c>
      <c r="Q471" s="135">
        <v>0.14637208800000001</v>
      </c>
      <c r="R471" s="135">
        <v>0.81943544699999993</v>
      </c>
      <c r="S471" s="135">
        <v>1.1830213389999999</v>
      </c>
      <c r="T471" s="136">
        <v>1.4358377900000001</v>
      </c>
      <c r="U471" s="135">
        <v>7.5928354000000003E-2</v>
      </c>
      <c r="V471" s="135">
        <v>0.29251612500000002</v>
      </c>
      <c r="W471" s="135">
        <v>3.5170037359999999</v>
      </c>
      <c r="X471" s="135">
        <v>7.2723386850000002</v>
      </c>
      <c r="Y471" s="136">
        <v>8.6853904110000002</v>
      </c>
    </row>
    <row r="472" spans="1:25">
      <c r="A472" s="125" t="s">
        <v>52</v>
      </c>
      <c r="B472" t="s">
        <v>75</v>
      </c>
      <c r="C472" s="186" t="s">
        <v>119</v>
      </c>
      <c r="D472" t="s">
        <v>183</v>
      </c>
      <c r="E472" t="s">
        <v>376</v>
      </c>
      <c r="F472" s="134">
        <v>1.1750783839999999</v>
      </c>
      <c r="G472" s="135">
        <v>2.0942805529999999</v>
      </c>
      <c r="H472" s="135">
        <v>3.0015714519999999</v>
      </c>
      <c r="I472" s="135">
        <v>3.9383928750000003</v>
      </c>
      <c r="J472" s="136">
        <v>4.2237851500000003</v>
      </c>
      <c r="K472" s="135">
        <v>5.8211200000000008E-4</v>
      </c>
      <c r="L472" s="135">
        <v>0.65124781800000009</v>
      </c>
      <c r="M472" s="135">
        <v>2.6613871080000004</v>
      </c>
      <c r="N472" s="135">
        <v>4.1267153099999998</v>
      </c>
      <c r="O472" s="135">
        <v>3.7185351070000001</v>
      </c>
      <c r="P472" s="134">
        <v>2.15058E-3</v>
      </c>
      <c r="Q472" s="135">
        <v>0.24242660399999996</v>
      </c>
      <c r="R472" s="135">
        <v>1.366422246</v>
      </c>
      <c r="S472" s="135">
        <v>1.9995540379999999</v>
      </c>
      <c r="T472" s="136">
        <v>2.4454963749999998</v>
      </c>
      <c r="U472" s="135">
        <v>6.4370658999999997E-2</v>
      </c>
      <c r="V472" s="135">
        <v>0.24809853900000001</v>
      </c>
      <c r="W472" s="135">
        <v>3.133961658</v>
      </c>
      <c r="X472" s="135">
        <v>6.4516845630000006</v>
      </c>
      <c r="Y472" s="136">
        <v>7.7610161909999995</v>
      </c>
    </row>
    <row r="473" spans="1:25">
      <c r="A473" s="125" t="s">
        <v>52</v>
      </c>
      <c r="B473" t="s">
        <v>75</v>
      </c>
      <c r="C473" s="186" t="s">
        <v>119</v>
      </c>
      <c r="D473" t="s">
        <v>185</v>
      </c>
      <c r="E473" t="s">
        <v>376</v>
      </c>
      <c r="F473" s="134">
        <v>2.8297090489999999</v>
      </c>
      <c r="G473" s="135">
        <v>6.0171433499999996</v>
      </c>
      <c r="H473" s="135">
        <v>9.9090732169999995</v>
      </c>
      <c r="I473" s="135">
        <v>15.289208130000004</v>
      </c>
      <c r="J473" s="136">
        <v>18.532787548999998</v>
      </c>
      <c r="K473" s="135">
        <v>0</v>
      </c>
      <c r="L473" s="135">
        <v>1.8790209999999998E-3</v>
      </c>
      <c r="M473" s="135">
        <v>0.32158835900000005</v>
      </c>
      <c r="N473" s="135">
        <v>1.6337913799999999</v>
      </c>
      <c r="O473" s="135">
        <v>2.2160484110000001</v>
      </c>
      <c r="P473" s="134">
        <v>3.2933350000000001E-3</v>
      </c>
      <c r="Q473" s="135">
        <v>0.27366388799999997</v>
      </c>
      <c r="R473" s="135">
        <v>1.5441582439999999</v>
      </c>
      <c r="S473" s="135">
        <v>2.212867068</v>
      </c>
      <c r="T473" s="136">
        <v>2.6942268039999999</v>
      </c>
      <c r="U473" s="135">
        <v>8.8004331000000005E-2</v>
      </c>
      <c r="V473" s="135">
        <v>0.33091958499999996</v>
      </c>
      <c r="W473" s="135">
        <v>4.089429311</v>
      </c>
      <c r="X473" s="135">
        <v>8.4618265739999998</v>
      </c>
      <c r="Y473" s="136">
        <v>10.116140041</v>
      </c>
    </row>
    <row r="474" spans="1:25">
      <c r="A474" s="125" t="s">
        <v>52</v>
      </c>
      <c r="B474" t="s">
        <v>75</v>
      </c>
      <c r="C474" s="186" t="s">
        <v>119</v>
      </c>
      <c r="D474" t="s">
        <v>187</v>
      </c>
      <c r="E474" t="s">
        <v>376</v>
      </c>
      <c r="F474" s="134">
        <v>3.5707626340000003</v>
      </c>
      <c r="G474" s="135">
        <v>9.1697210109999983</v>
      </c>
      <c r="H474" s="135">
        <v>18.123664918999999</v>
      </c>
      <c r="I474" s="135">
        <v>32.207235354000005</v>
      </c>
      <c r="J474" s="136">
        <v>42.916359953000004</v>
      </c>
      <c r="K474" s="135">
        <v>7.75E-5</v>
      </c>
      <c r="L474" s="135">
        <v>0.52409635300000001</v>
      </c>
      <c r="M474" s="135">
        <v>2.0983709239999997</v>
      </c>
      <c r="N474" s="135">
        <v>3.0802175869999999</v>
      </c>
      <c r="O474" s="135">
        <v>2.6606073919999997</v>
      </c>
      <c r="P474" s="134">
        <v>1.598552E-3</v>
      </c>
      <c r="Q474" s="135">
        <v>0.13063303900000001</v>
      </c>
      <c r="R474" s="135">
        <v>0.7283048809999999</v>
      </c>
      <c r="S474" s="135">
        <v>1.026596493</v>
      </c>
      <c r="T474" s="136">
        <v>1.2369851090000001</v>
      </c>
      <c r="U474" s="135">
        <v>3.9493109999999998E-2</v>
      </c>
      <c r="V474" s="135">
        <v>0.143840683</v>
      </c>
      <c r="W474" s="135">
        <v>2.4327195009999998</v>
      </c>
      <c r="X474" s="135">
        <v>4.9109610510000001</v>
      </c>
      <c r="Y474" s="136">
        <v>6.0739001330000004</v>
      </c>
    </row>
    <row r="475" spans="1:25">
      <c r="A475" s="125" t="s">
        <v>52</v>
      </c>
      <c r="B475" t="s">
        <v>75</v>
      </c>
      <c r="C475" s="186" t="s">
        <v>119</v>
      </c>
      <c r="D475" t="s">
        <v>189</v>
      </c>
      <c r="E475" t="s">
        <v>376</v>
      </c>
      <c r="F475" s="134">
        <v>3.1575671E-2</v>
      </c>
      <c r="G475" s="135">
        <v>5.3662105000000002E-2</v>
      </c>
      <c r="H475" s="135">
        <v>6.9503907000000004E-2</v>
      </c>
      <c r="I475" s="135">
        <v>8.07657086E-2</v>
      </c>
      <c r="J475" s="136">
        <v>8.8108545099999991E-2</v>
      </c>
      <c r="K475" s="135">
        <v>0</v>
      </c>
      <c r="L475" s="135">
        <v>0</v>
      </c>
      <c r="M475" s="135">
        <v>2.3567263999999997E-2</v>
      </c>
      <c r="N475" s="135">
        <v>0.12108107300000001</v>
      </c>
      <c r="O475" s="135">
        <v>0.16435023300000001</v>
      </c>
      <c r="P475" s="134">
        <v>3.3175E-5</v>
      </c>
      <c r="Q475" s="135">
        <v>3.9282480000000005E-3</v>
      </c>
      <c r="R475" s="135">
        <v>2.2389958000000001E-2</v>
      </c>
      <c r="S475" s="135">
        <v>3.2454001000000003E-2</v>
      </c>
      <c r="T475" s="136">
        <v>3.9553740000000004E-2</v>
      </c>
      <c r="U475" s="135">
        <v>0</v>
      </c>
      <c r="V475" s="135">
        <v>7.8315100000000005E-4</v>
      </c>
      <c r="W475" s="135">
        <v>0.13654361600000001</v>
      </c>
      <c r="X475" s="135">
        <v>0.25244959500000003</v>
      </c>
      <c r="Y475" s="136">
        <v>0.34738269600000005</v>
      </c>
    </row>
    <row r="476" spans="1:25">
      <c r="A476" s="125" t="s">
        <v>52</v>
      </c>
      <c r="B476" t="s">
        <v>75</v>
      </c>
      <c r="C476" s="186" t="s">
        <v>119</v>
      </c>
      <c r="D476" t="s">
        <v>191</v>
      </c>
      <c r="E476" t="s">
        <v>376</v>
      </c>
      <c r="F476" s="134">
        <v>0.21431700400000001</v>
      </c>
      <c r="G476" s="135">
        <v>0.36703122099999996</v>
      </c>
      <c r="H476" s="135">
        <v>0.48052470199999997</v>
      </c>
      <c r="I476" s="135">
        <v>0.567992359</v>
      </c>
      <c r="J476" s="136">
        <v>0.62252852999999997</v>
      </c>
      <c r="K476" s="135">
        <v>0</v>
      </c>
      <c r="L476" s="135">
        <v>0</v>
      </c>
      <c r="M476" s="135">
        <v>0.37742408</v>
      </c>
      <c r="N476" s="135">
        <v>0.71136314999999994</v>
      </c>
      <c r="O476" s="135">
        <v>0.83914538800000005</v>
      </c>
      <c r="P476" s="134">
        <v>1.1931000000000001E-4</v>
      </c>
      <c r="Q476" s="135">
        <v>2.0336168000000002E-2</v>
      </c>
      <c r="R476" s="135">
        <v>0.11402944500000001</v>
      </c>
      <c r="S476" s="135">
        <v>0.17021935499999999</v>
      </c>
      <c r="T476" s="136">
        <v>0.20863948900000001</v>
      </c>
      <c r="U476" s="135">
        <v>0</v>
      </c>
      <c r="V476" s="135">
        <v>0</v>
      </c>
      <c r="W476" s="135">
        <v>0.22551750400000001</v>
      </c>
      <c r="X476" s="135">
        <v>0.41984321499999999</v>
      </c>
      <c r="Y476" s="136">
        <v>0.57972207799999997</v>
      </c>
    </row>
    <row r="477" spans="1:25">
      <c r="A477" s="125" t="s">
        <v>52</v>
      </c>
      <c r="B477" t="s">
        <v>75</v>
      </c>
      <c r="C477" s="186" t="s">
        <v>361</v>
      </c>
      <c r="D477" t="s">
        <v>359</v>
      </c>
      <c r="E477" t="s">
        <v>376</v>
      </c>
      <c r="F477" s="134">
        <v>1.5210723359999998</v>
      </c>
      <c r="G477" s="135">
        <v>2.4301588360000004</v>
      </c>
      <c r="H477" s="135">
        <v>3.3033518160000002</v>
      </c>
      <c r="I477" s="135">
        <v>4.0928211120000002</v>
      </c>
      <c r="J477" s="136">
        <v>4.9127530150000007</v>
      </c>
      <c r="K477" s="135">
        <v>3.6999999999999998E-5</v>
      </c>
      <c r="L477" s="135">
        <v>9.630909E-3</v>
      </c>
      <c r="M477" s="135">
        <v>0.238964011</v>
      </c>
      <c r="N477" s="135">
        <v>0.41931921599999999</v>
      </c>
      <c r="O477" s="135">
        <v>0.38872798399999997</v>
      </c>
      <c r="P477" s="134">
        <v>1.7580599999999998E-4</v>
      </c>
      <c r="Q477" s="135">
        <v>3.2814319999999999E-3</v>
      </c>
      <c r="R477" s="135">
        <v>7.0586536000000005E-2</v>
      </c>
      <c r="S477" s="135">
        <v>0.145828505</v>
      </c>
      <c r="T477" s="136">
        <v>0.248952642</v>
      </c>
      <c r="U477" s="135">
        <v>2.3360837999999998E-2</v>
      </c>
      <c r="V477" s="135">
        <v>0.103222854</v>
      </c>
      <c r="W477" s="135">
        <v>1.0987548110000001</v>
      </c>
      <c r="X477" s="135">
        <v>2.2623196700000001</v>
      </c>
      <c r="Y477" s="136">
        <v>2.7056996010000001</v>
      </c>
    </row>
    <row r="478" spans="1:25">
      <c r="A478" s="125" t="s">
        <v>52</v>
      </c>
      <c r="B478" t="s">
        <v>75</v>
      </c>
      <c r="C478" s="186" t="s">
        <v>236</v>
      </c>
      <c r="D478" t="s">
        <v>234</v>
      </c>
      <c r="E478" t="s">
        <v>376</v>
      </c>
      <c r="F478" s="134">
        <v>1.7977015520000001</v>
      </c>
      <c r="G478" s="135">
        <v>4.1511468879999986</v>
      </c>
      <c r="H478" s="135">
        <v>8.2079832350000004</v>
      </c>
      <c r="I478" s="135">
        <v>15.068574709999998</v>
      </c>
      <c r="J478" s="136">
        <v>20.689561563000002</v>
      </c>
      <c r="K478" s="135">
        <v>1.2899999999999999E-4</v>
      </c>
      <c r="L478" s="135">
        <v>7.7443242999999995E-2</v>
      </c>
      <c r="M478" s="135">
        <v>1.2815389399999999</v>
      </c>
      <c r="N478" s="135">
        <v>1.755568096</v>
      </c>
      <c r="O478" s="135">
        <v>1.397165518</v>
      </c>
      <c r="P478" s="134">
        <v>0</v>
      </c>
      <c r="Q478" s="135">
        <v>1.5256860000000001E-3</v>
      </c>
      <c r="R478" s="135">
        <v>6.1785691000000004E-2</v>
      </c>
      <c r="S478" s="135">
        <v>0.20819657000000003</v>
      </c>
      <c r="T478" s="136">
        <v>0.41405832099999995</v>
      </c>
      <c r="U478" s="135">
        <v>1.3080165E-2</v>
      </c>
      <c r="V478" s="135">
        <v>4.7206422000000005E-2</v>
      </c>
      <c r="W478" s="135">
        <v>0.54732521200000006</v>
      </c>
      <c r="X478" s="135">
        <v>1.147273566</v>
      </c>
      <c r="Y478" s="136">
        <v>1.352459176</v>
      </c>
    </row>
    <row r="479" spans="1:25">
      <c r="A479" s="125" t="s">
        <v>52</v>
      </c>
      <c r="B479" t="s">
        <v>75</v>
      </c>
      <c r="C479" s="186" t="s">
        <v>236</v>
      </c>
      <c r="D479" t="s">
        <v>237</v>
      </c>
      <c r="E479" t="s">
        <v>376</v>
      </c>
      <c r="F479" s="134">
        <v>2.041102559</v>
      </c>
      <c r="G479" s="135">
        <v>3.7621777020000007</v>
      </c>
      <c r="H479" s="135">
        <v>5.5744548860000007</v>
      </c>
      <c r="I479" s="135">
        <v>8.009750480000001</v>
      </c>
      <c r="J479" s="136">
        <v>9.6634289259999999</v>
      </c>
      <c r="K479" s="135">
        <v>0</v>
      </c>
      <c r="L479" s="135">
        <v>0</v>
      </c>
      <c r="M479" s="135">
        <v>0.30955292699999998</v>
      </c>
      <c r="N479" s="135">
        <v>1.2101404250000001</v>
      </c>
      <c r="O479" s="135">
        <v>1.3186400730000001</v>
      </c>
      <c r="P479" s="134">
        <v>0</v>
      </c>
      <c r="Q479" s="135">
        <v>3.0298740000000001E-3</v>
      </c>
      <c r="R479" s="135">
        <v>0.133024109</v>
      </c>
      <c r="S479" s="135">
        <v>0.443370457</v>
      </c>
      <c r="T479" s="136">
        <v>0.87560093000000006</v>
      </c>
      <c r="U479" s="135">
        <v>3.2485278999999999E-2</v>
      </c>
      <c r="V479" s="135">
        <v>0.121699974</v>
      </c>
      <c r="W479" s="135">
        <v>1.3632360739999998</v>
      </c>
      <c r="X479" s="135">
        <v>2.8478821320000001</v>
      </c>
      <c r="Y479" s="136">
        <v>3.3517985120000002</v>
      </c>
    </row>
    <row r="480" spans="1:25">
      <c r="A480" s="125" t="s">
        <v>52</v>
      </c>
      <c r="B480" t="s">
        <v>75</v>
      </c>
      <c r="C480" s="186" t="s">
        <v>236</v>
      </c>
      <c r="D480" t="s">
        <v>239</v>
      </c>
      <c r="E480" t="s">
        <v>376</v>
      </c>
      <c r="F480" s="134">
        <v>1.3741055679999998</v>
      </c>
      <c r="G480" s="135">
        <v>2.062455726</v>
      </c>
      <c r="H480" s="135">
        <v>2.4204672650000001</v>
      </c>
      <c r="I480" s="135">
        <v>2.8830118140000001</v>
      </c>
      <c r="J480" s="136">
        <v>3.2974597849999996</v>
      </c>
      <c r="K480" s="135">
        <v>0</v>
      </c>
      <c r="L480" s="135">
        <v>0</v>
      </c>
      <c r="M480" s="135">
        <v>0.41543828999999999</v>
      </c>
      <c r="N480" s="135">
        <v>1.6240798430000001</v>
      </c>
      <c r="O480" s="135">
        <v>1.7696927729999998</v>
      </c>
      <c r="P480" s="134">
        <v>0</v>
      </c>
      <c r="Q480" s="135">
        <v>3.98307E-3</v>
      </c>
      <c r="R480" s="135">
        <v>0.18001915800000001</v>
      </c>
      <c r="S480" s="135">
        <v>0.59022459399999994</v>
      </c>
      <c r="T480" s="136">
        <v>1.1516932070000001</v>
      </c>
      <c r="U480" s="135">
        <v>2.6246384000000001E-2</v>
      </c>
      <c r="V480" s="135">
        <v>0.10089867000000001</v>
      </c>
      <c r="W480" s="135">
        <v>1.1063444950000001</v>
      </c>
      <c r="X480" s="135">
        <v>2.3039534420000001</v>
      </c>
      <c r="Y480" s="136">
        <v>2.7084632319999997</v>
      </c>
    </row>
    <row r="481" spans="1:25">
      <c r="A481" s="125" t="s">
        <v>52</v>
      </c>
      <c r="B481" t="s">
        <v>75</v>
      </c>
      <c r="C481" s="186" t="s">
        <v>243</v>
      </c>
      <c r="D481" t="s">
        <v>241</v>
      </c>
      <c r="E481" t="s">
        <v>376</v>
      </c>
      <c r="F481" s="134">
        <v>1.7744008800000002</v>
      </c>
      <c r="G481" s="135">
        <v>2.9390877400000002</v>
      </c>
      <c r="H481" s="135">
        <v>3.7635031559999996</v>
      </c>
      <c r="I481" s="135">
        <v>4.4218276740000002</v>
      </c>
      <c r="J481" s="136">
        <v>4.8395017600000001</v>
      </c>
      <c r="K481" s="135">
        <v>0</v>
      </c>
      <c r="L481" s="135">
        <v>0.21520782899999999</v>
      </c>
      <c r="M481" s="135">
        <v>1.1546597209999998</v>
      </c>
      <c r="N481" s="135">
        <v>2.356017805</v>
      </c>
      <c r="O481" s="135">
        <v>2.585618964</v>
      </c>
      <c r="P481" s="134">
        <v>2.7287699999999998E-4</v>
      </c>
      <c r="Q481" s="135">
        <v>1.0427048000000001E-2</v>
      </c>
      <c r="R481" s="135">
        <v>0.31673346000000002</v>
      </c>
      <c r="S481" s="135">
        <v>0.75181248200000006</v>
      </c>
      <c r="T481" s="136">
        <v>0.90257218599999989</v>
      </c>
      <c r="U481" s="135">
        <v>6.0838258999999999E-2</v>
      </c>
      <c r="V481" s="135">
        <v>0.24778338100000002</v>
      </c>
      <c r="W481" s="135">
        <v>2.6411444120000001</v>
      </c>
      <c r="X481" s="135">
        <v>5.5006752579999993</v>
      </c>
      <c r="Y481" s="136">
        <v>6.5155391590000002</v>
      </c>
    </row>
    <row r="482" spans="1:25">
      <c r="A482" s="125" t="s">
        <v>52</v>
      </c>
      <c r="B482" t="s">
        <v>75</v>
      </c>
      <c r="C482" s="186" t="s">
        <v>123</v>
      </c>
      <c r="D482" t="s">
        <v>244</v>
      </c>
      <c r="E482" t="s">
        <v>376</v>
      </c>
      <c r="F482" s="134">
        <v>7.039939704</v>
      </c>
      <c r="G482" s="135">
        <v>11.835469071</v>
      </c>
      <c r="H482" s="135">
        <v>16.998793423999999</v>
      </c>
      <c r="I482" s="135">
        <v>23.695216686000002</v>
      </c>
      <c r="J482" s="136">
        <v>28.871358373</v>
      </c>
      <c r="K482" s="135">
        <v>7.8741349999999991E-3</v>
      </c>
      <c r="L482" s="135">
        <v>3.0603851909999999</v>
      </c>
      <c r="M482" s="135">
        <v>13.004848429999999</v>
      </c>
      <c r="N482" s="135">
        <v>25.756886902999998</v>
      </c>
      <c r="O482" s="135">
        <v>27.453759462000001</v>
      </c>
      <c r="P482" s="134">
        <v>2.4992019999999998E-3</v>
      </c>
      <c r="Q482" s="135">
        <v>0.38797654100000001</v>
      </c>
      <c r="R482" s="135">
        <v>2.7886011689999997</v>
      </c>
      <c r="S482" s="135">
        <v>4.9248097030000002</v>
      </c>
      <c r="T482" s="136">
        <v>6.8946464660000011</v>
      </c>
      <c r="U482" s="135">
        <v>9.3083679000000003E-2</v>
      </c>
      <c r="V482" s="135">
        <v>0.32766504299999999</v>
      </c>
      <c r="W482" s="135">
        <v>4.683678134</v>
      </c>
      <c r="X482" s="135">
        <v>9.6426389050000001</v>
      </c>
      <c r="Y482" s="136">
        <v>11.666242474000001</v>
      </c>
    </row>
    <row r="483" spans="1:25">
      <c r="A483" s="125" t="s">
        <v>52</v>
      </c>
      <c r="B483" t="s">
        <v>75</v>
      </c>
      <c r="C483" s="186" t="s">
        <v>123</v>
      </c>
      <c r="D483" t="s">
        <v>246</v>
      </c>
      <c r="E483" t="s">
        <v>376</v>
      </c>
      <c r="F483" s="134">
        <v>6.5410129560000012</v>
      </c>
      <c r="G483" s="135">
        <v>11.322595177</v>
      </c>
      <c r="H483" s="135">
        <v>15.803397167</v>
      </c>
      <c r="I483" s="135">
        <v>20.996133548</v>
      </c>
      <c r="J483" s="136">
        <v>25.160937401999998</v>
      </c>
      <c r="K483" s="135">
        <v>3.319954E-3</v>
      </c>
      <c r="L483" s="135">
        <v>1.2903382919999999</v>
      </c>
      <c r="M483" s="135">
        <v>7.1116852230000012</v>
      </c>
      <c r="N483" s="135">
        <v>19.836421939999997</v>
      </c>
      <c r="O483" s="135">
        <v>24.493966727999997</v>
      </c>
      <c r="P483" s="134">
        <v>7.5697099999999995E-4</v>
      </c>
      <c r="Q483" s="135">
        <v>0.17007326</v>
      </c>
      <c r="R483" s="135">
        <v>1.1814310260000001</v>
      </c>
      <c r="S483" s="135">
        <v>2.0365968469999998</v>
      </c>
      <c r="T483" s="136">
        <v>2.7972559400000008</v>
      </c>
      <c r="U483" s="135">
        <v>6.7958503000000003E-2</v>
      </c>
      <c r="V483" s="135">
        <v>0.24027162500000002</v>
      </c>
      <c r="W483" s="135">
        <v>3.1695561140000001</v>
      </c>
      <c r="X483" s="135">
        <v>6.5768990880000002</v>
      </c>
      <c r="Y483" s="136">
        <v>7.8830320309999999</v>
      </c>
    </row>
    <row r="484" spans="1:25">
      <c r="A484" s="125" t="s">
        <v>52</v>
      </c>
      <c r="B484" t="s">
        <v>75</v>
      </c>
      <c r="C484" s="186" t="s">
        <v>123</v>
      </c>
      <c r="D484" t="s">
        <v>248</v>
      </c>
      <c r="E484" t="s">
        <v>376</v>
      </c>
      <c r="F484" s="134">
        <v>3.8205721619999999</v>
      </c>
      <c r="G484" s="135">
        <v>8.8532937209999982</v>
      </c>
      <c r="H484" s="135">
        <v>17.859757620999996</v>
      </c>
      <c r="I484" s="135">
        <v>32.799124951000003</v>
      </c>
      <c r="J484" s="136">
        <v>44.850653655999992</v>
      </c>
      <c r="K484" s="135">
        <v>4.0986359999999993E-3</v>
      </c>
      <c r="L484" s="135">
        <v>1.5929750899999999</v>
      </c>
      <c r="M484" s="135">
        <v>6.4343891800000002</v>
      </c>
      <c r="N484" s="135">
        <v>11.561214543</v>
      </c>
      <c r="O484" s="135">
        <v>11.63395624</v>
      </c>
      <c r="P484" s="134">
        <v>6.4645400000000008E-4</v>
      </c>
      <c r="Q484" s="135">
        <v>0.11406712199999999</v>
      </c>
      <c r="R484" s="135">
        <v>0.79419804300000019</v>
      </c>
      <c r="S484" s="135">
        <v>1.3645478949999998</v>
      </c>
      <c r="T484" s="136">
        <v>1.869435084</v>
      </c>
      <c r="U484" s="135">
        <v>3.1568718000000003E-2</v>
      </c>
      <c r="V484" s="135">
        <v>0.115278353</v>
      </c>
      <c r="W484" s="135">
        <v>1.720155688</v>
      </c>
      <c r="X484" s="135">
        <v>3.5125935080000001</v>
      </c>
      <c r="Y484" s="136">
        <v>4.2910273960000005</v>
      </c>
    </row>
    <row r="485" spans="1:25">
      <c r="A485" s="125" t="s">
        <v>52</v>
      </c>
      <c r="B485" t="s">
        <v>75</v>
      </c>
      <c r="C485" s="186" t="s">
        <v>123</v>
      </c>
      <c r="D485" t="s">
        <v>250</v>
      </c>
      <c r="E485" t="s">
        <v>376</v>
      </c>
      <c r="F485" s="134">
        <v>5.8120477360000002</v>
      </c>
      <c r="G485" s="135">
        <v>9.7954279209999999</v>
      </c>
      <c r="H485" s="135">
        <v>14.970114428</v>
      </c>
      <c r="I485" s="135">
        <v>20.521330058999997</v>
      </c>
      <c r="J485" s="136">
        <v>25.077534548000003</v>
      </c>
      <c r="K485" s="135">
        <v>3.9710209999999999E-3</v>
      </c>
      <c r="L485" s="135">
        <v>1.543404131</v>
      </c>
      <c r="M485" s="135">
        <v>7.3287757450000006</v>
      </c>
      <c r="N485" s="135">
        <v>17.235196627000001</v>
      </c>
      <c r="O485" s="135">
        <v>19.955398811999999</v>
      </c>
      <c r="P485" s="134">
        <v>1.3227009999999999E-3</v>
      </c>
      <c r="Q485" s="135">
        <v>0.2674224850000001</v>
      </c>
      <c r="R485" s="135">
        <v>1.9201059650000001</v>
      </c>
      <c r="S485" s="135">
        <v>3.3932832339999992</v>
      </c>
      <c r="T485" s="136">
        <v>4.768214757</v>
      </c>
      <c r="U485" s="135">
        <v>7.4216618999999998E-2</v>
      </c>
      <c r="V485" s="135">
        <v>0.63087553100000004</v>
      </c>
      <c r="W485" s="135">
        <v>4.2096909609999997</v>
      </c>
      <c r="X485" s="135">
        <v>8.2621263220000003</v>
      </c>
      <c r="Y485" s="136">
        <v>9.969730363</v>
      </c>
    </row>
    <row r="486" spans="1:25">
      <c r="A486" s="125" t="s">
        <v>52</v>
      </c>
      <c r="B486" t="s">
        <v>75</v>
      </c>
      <c r="C486" s="186" t="s">
        <v>123</v>
      </c>
      <c r="D486" t="s">
        <v>252</v>
      </c>
      <c r="E486" t="s">
        <v>376</v>
      </c>
      <c r="F486" s="134">
        <v>4.6071482100000001</v>
      </c>
      <c r="G486" s="135">
        <v>7.2893612490000015</v>
      </c>
      <c r="H486" s="135">
        <v>9.7551359290000015</v>
      </c>
      <c r="I486" s="135">
        <v>12.667503462999997</v>
      </c>
      <c r="J486" s="136">
        <v>14.805580862999999</v>
      </c>
      <c r="K486" s="135">
        <v>4.4639519999999993E-3</v>
      </c>
      <c r="L486" s="135">
        <v>1.7349877</v>
      </c>
      <c r="M486" s="135">
        <v>7.9557357709999996</v>
      </c>
      <c r="N486" s="135">
        <v>17.815951466000001</v>
      </c>
      <c r="O486" s="135">
        <v>20.189328005</v>
      </c>
      <c r="P486" s="134">
        <v>1.14309E-3</v>
      </c>
      <c r="Q486" s="135">
        <v>0.22051923299999998</v>
      </c>
      <c r="R486" s="135">
        <v>1.5789552839999996</v>
      </c>
      <c r="S486" s="135">
        <v>2.7665015579999999</v>
      </c>
      <c r="T486" s="136">
        <v>3.8509682839999999</v>
      </c>
      <c r="U486" s="135">
        <v>5.5025062999999999E-2</v>
      </c>
      <c r="V486" s="135">
        <v>0.44503667199999997</v>
      </c>
      <c r="W486" s="135">
        <v>3.6112553319999998</v>
      </c>
      <c r="X486" s="135">
        <v>7.0506933889999992</v>
      </c>
      <c r="Y486" s="136">
        <v>8.6686544839999993</v>
      </c>
    </row>
    <row r="487" spans="1:25">
      <c r="A487" s="125" t="s">
        <v>52</v>
      </c>
      <c r="B487" t="s">
        <v>75</v>
      </c>
      <c r="C487" s="186" t="s">
        <v>259</v>
      </c>
      <c r="D487" t="s">
        <v>257</v>
      </c>
      <c r="E487" t="s">
        <v>376</v>
      </c>
      <c r="F487" s="134">
        <v>1.3809233050000003</v>
      </c>
      <c r="G487" s="135">
        <v>3.4401528860000004</v>
      </c>
      <c r="H487" s="135">
        <v>6.720147697999999</v>
      </c>
      <c r="I487" s="135">
        <v>10.436281710000001</v>
      </c>
      <c r="J487" s="136">
        <v>13.874468263000001</v>
      </c>
      <c r="K487" s="135">
        <v>0</v>
      </c>
      <c r="L487" s="135">
        <v>1.61115E-4</v>
      </c>
      <c r="M487" s="135">
        <v>1.6341446999999999E-2</v>
      </c>
      <c r="N487" s="135">
        <v>3.8108064999999997E-2</v>
      </c>
      <c r="O487" s="135">
        <v>3.6285357999999997E-2</v>
      </c>
      <c r="P487" s="134">
        <v>0</v>
      </c>
      <c r="Q487" s="135">
        <v>8.9300000000000002E-5</v>
      </c>
      <c r="R487" s="135">
        <v>1.561729E-3</v>
      </c>
      <c r="S487" s="135">
        <v>5.3582600000000001E-3</v>
      </c>
      <c r="T487" s="136">
        <v>1.4342607000000004E-2</v>
      </c>
      <c r="U487" s="135">
        <v>2.8910910000000001E-2</v>
      </c>
      <c r="V487" s="135">
        <v>0.102834552</v>
      </c>
      <c r="W487" s="135">
        <v>1.3972454329999999</v>
      </c>
      <c r="X487" s="135">
        <v>2.8900398009999999</v>
      </c>
      <c r="Y487" s="136">
        <v>3.4808835769999997</v>
      </c>
    </row>
    <row r="488" spans="1:25">
      <c r="A488" s="125" t="s">
        <v>52</v>
      </c>
      <c r="B488" t="s">
        <v>75</v>
      </c>
      <c r="C488" s="186" t="s">
        <v>261</v>
      </c>
      <c r="D488" t="s">
        <v>260</v>
      </c>
      <c r="E488" t="s">
        <v>376</v>
      </c>
      <c r="F488" s="134">
        <v>0.35242740900000002</v>
      </c>
      <c r="G488" s="135">
        <v>0.53218695299999996</v>
      </c>
      <c r="H488" s="135">
        <v>0.66867516199999999</v>
      </c>
      <c r="I488" s="135">
        <v>1.1079472029999999</v>
      </c>
      <c r="J488" s="136">
        <v>1.2393069849999998</v>
      </c>
      <c r="K488" s="135">
        <v>0</v>
      </c>
      <c r="L488" s="135">
        <v>0</v>
      </c>
      <c r="M488" s="135">
        <v>0.60154492599999998</v>
      </c>
      <c r="N488" s="135">
        <v>1.258937811</v>
      </c>
      <c r="O488" s="135">
        <v>1.4346115129999999</v>
      </c>
      <c r="P488" s="134">
        <v>0</v>
      </c>
      <c r="Q488" s="135">
        <v>2.4668419999999999E-3</v>
      </c>
      <c r="R488" s="135">
        <v>8.1435743000000005E-2</v>
      </c>
      <c r="S488" s="135">
        <v>0.17946833099999998</v>
      </c>
      <c r="T488" s="136">
        <v>0.20082728799999999</v>
      </c>
      <c r="U488" s="135">
        <v>3.9455751999999997E-2</v>
      </c>
      <c r="V488" s="135">
        <v>0.136869772</v>
      </c>
      <c r="W488" s="135">
        <v>1.636131644</v>
      </c>
      <c r="X488" s="135">
        <v>3.4449395359999997</v>
      </c>
      <c r="Y488" s="136">
        <v>4.0650443960000002</v>
      </c>
    </row>
    <row r="489" spans="1:25">
      <c r="A489" s="125" t="s">
        <v>52</v>
      </c>
      <c r="B489" t="s">
        <v>75</v>
      </c>
      <c r="C489" s="186" t="s">
        <v>256</v>
      </c>
      <c r="D489" t="s">
        <v>254</v>
      </c>
      <c r="E489" t="s">
        <v>376</v>
      </c>
      <c r="F489" s="134">
        <v>1.3937390999999999</v>
      </c>
      <c r="G489" s="135">
        <v>2.2926858490000002</v>
      </c>
      <c r="H489" s="135">
        <v>3.1238256350000002</v>
      </c>
      <c r="I489" s="135">
        <v>3.9127593860000003</v>
      </c>
      <c r="J489" s="136">
        <v>4.4964713280000002</v>
      </c>
      <c r="K489" s="135">
        <v>0</v>
      </c>
      <c r="L489" s="135">
        <v>9.2600000000000001E-5</v>
      </c>
      <c r="M489" s="135">
        <v>1.2081058E-2</v>
      </c>
      <c r="N489" s="135">
        <v>2.6223482999999999E-2</v>
      </c>
      <c r="O489" s="135">
        <v>2.5331004000000001E-2</v>
      </c>
      <c r="P489" s="134">
        <v>0</v>
      </c>
      <c r="Q489" s="135">
        <v>2.0481999999999995E-4</v>
      </c>
      <c r="R489" s="135">
        <v>7.6297390000000007E-2</v>
      </c>
      <c r="S489" s="135">
        <v>0.30850625100000006</v>
      </c>
      <c r="T489" s="136">
        <v>0.60596054700000002</v>
      </c>
      <c r="U489" s="135">
        <v>0</v>
      </c>
      <c r="V489" s="135">
        <v>2.5221969999999999E-3</v>
      </c>
      <c r="W489" s="135">
        <v>5.0852359999999999E-3</v>
      </c>
      <c r="X489" s="135">
        <v>7.3261200000000002E-3</v>
      </c>
      <c r="Y489" s="136">
        <v>9.2407490000000012E-3</v>
      </c>
    </row>
    <row r="490" spans="1:25">
      <c r="A490" s="125" t="s">
        <v>52</v>
      </c>
      <c r="B490" t="s">
        <v>75</v>
      </c>
      <c r="C490" s="186" t="s">
        <v>263</v>
      </c>
      <c r="D490" t="s">
        <v>262</v>
      </c>
      <c r="E490" t="s">
        <v>376</v>
      </c>
      <c r="F490" s="134">
        <v>1.9774549999999999E-3</v>
      </c>
      <c r="G490" s="135">
        <v>4.0422269999999998E-3</v>
      </c>
      <c r="H490" s="135">
        <v>9.873471E-3</v>
      </c>
      <c r="I490" s="135">
        <v>3.6044510000000002E-2</v>
      </c>
      <c r="J490" s="136">
        <v>5.1377402000000003E-2</v>
      </c>
      <c r="K490" s="135">
        <v>8.9904440000000002E-5</v>
      </c>
      <c r="L490" s="135">
        <v>1.6138278000000001E-4</v>
      </c>
      <c r="M490" s="135">
        <v>2.892002E-4</v>
      </c>
      <c r="N490" s="135">
        <v>2.5265619999999999E-4</v>
      </c>
      <c r="O490" s="135">
        <v>2.4706890000000001E-4</v>
      </c>
      <c r="P490" s="134">
        <v>1.205E-5</v>
      </c>
      <c r="Q490" s="135">
        <v>1.6551700000000001E-4</v>
      </c>
      <c r="R490" s="135">
        <v>3.8553300000000002E-4</v>
      </c>
      <c r="S490" s="135">
        <v>4.6893100000000001E-4</v>
      </c>
      <c r="T490" s="136">
        <v>6.3122800000000006E-4</v>
      </c>
      <c r="U490" s="135">
        <v>0</v>
      </c>
      <c r="V490" s="135">
        <v>1.0887775000000001E-2</v>
      </c>
      <c r="W490" s="135">
        <v>2.0782864999999998E-2</v>
      </c>
      <c r="X490" s="135">
        <v>2.9457311999999999E-2</v>
      </c>
      <c r="Y490" s="136">
        <v>3.6908541000000003E-2</v>
      </c>
    </row>
    <row r="491" spans="1:25">
      <c r="A491" s="125" t="s">
        <v>52</v>
      </c>
      <c r="B491" t="s">
        <v>75</v>
      </c>
      <c r="C491" s="186" t="s">
        <v>125</v>
      </c>
      <c r="D491" t="s">
        <v>264</v>
      </c>
      <c r="E491" t="s">
        <v>376</v>
      </c>
      <c r="F491" s="134">
        <v>1.3820766949999999</v>
      </c>
      <c r="G491" s="135">
        <v>1.5144833800000002</v>
      </c>
      <c r="H491" s="135">
        <v>1.7716022069999999</v>
      </c>
      <c r="I491" s="135">
        <v>2.2568960440000003</v>
      </c>
      <c r="J491" s="136">
        <v>2.5635247000000003</v>
      </c>
      <c r="K491" s="135">
        <v>0</v>
      </c>
      <c r="L491" s="135">
        <v>0</v>
      </c>
      <c r="M491" s="135">
        <v>0.20917664899999999</v>
      </c>
      <c r="N491" s="135">
        <v>1.4118518799999999</v>
      </c>
      <c r="O491" s="135">
        <v>2.8858038820000003</v>
      </c>
      <c r="P491" s="134">
        <v>0</v>
      </c>
      <c r="Q491" s="135">
        <v>2.1842770000000001E-3</v>
      </c>
      <c r="R491" s="135">
        <v>0.114837407</v>
      </c>
      <c r="S491" s="135">
        <v>0.27966654799999996</v>
      </c>
      <c r="T491" s="136">
        <v>0.4709130889999999</v>
      </c>
      <c r="U491" s="135">
        <v>2.3335966999999999E-2</v>
      </c>
      <c r="V491" s="135">
        <v>0.12122161000000001</v>
      </c>
      <c r="W491" s="135">
        <v>1.043438281</v>
      </c>
      <c r="X491" s="135">
        <v>2.1434414260000003</v>
      </c>
      <c r="Y491" s="136">
        <v>2.5359977359999997</v>
      </c>
    </row>
    <row r="492" spans="1:25">
      <c r="A492" s="125" t="s">
        <v>52</v>
      </c>
      <c r="B492" t="s">
        <v>75</v>
      </c>
      <c r="C492" s="186" t="s">
        <v>125</v>
      </c>
      <c r="D492" t="s">
        <v>266</v>
      </c>
      <c r="E492" t="s">
        <v>376</v>
      </c>
      <c r="F492" s="134">
        <v>2.8399941379999998</v>
      </c>
      <c r="G492" s="135">
        <v>3.4288790480000002</v>
      </c>
      <c r="H492" s="135">
        <v>4.2084146529999993</v>
      </c>
      <c r="I492" s="135">
        <v>5.3393725499999993</v>
      </c>
      <c r="J492" s="136">
        <v>6.0739812239999997</v>
      </c>
      <c r="K492" s="135">
        <v>1.9300000000000002E-5</v>
      </c>
      <c r="L492" s="135">
        <v>0.15292424199999999</v>
      </c>
      <c r="M492" s="135">
        <v>1.4513173429999999</v>
      </c>
      <c r="N492" s="135">
        <v>3.6441039589999997</v>
      </c>
      <c r="O492" s="135">
        <v>5.6195624320000004</v>
      </c>
      <c r="P492" s="134">
        <v>0</v>
      </c>
      <c r="Q492" s="135">
        <v>4.3933509999999993E-3</v>
      </c>
      <c r="R492" s="135">
        <v>0.22456768299999999</v>
      </c>
      <c r="S492" s="135">
        <v>0.56051090000000003</v>
      </c>
      <c r="T492" s="136">
        <v>0.96218417499999997</v>
      </c>
      <c r="U492" s="135">
        <v>3.3004447999999999E-2</v>
      </c>
      <c r="V492" s="135">
        <v>0.15109272899999998</v>
      </c>
      <c r="W492" s="135">
        <v>1.4367082879999999</v>
      </c>
      <c r="X492" s="135">
        <v>2.9754793820000001</v>
      </c>
      <c r="Y492" s="136">
        <v>3.5159847370000001</v>
      </c>
    </row>
    <row r="493" spans="1:25">
      <c r="A493" s="125" t="s">
        <v>52</v>
      </c>
      <c r="B493" t="s">
        <v>75</v>
      </c>
      <c r="C493" s="186" t="s">
        <v>125</v>
      </c>
      <c r="D493" t="s">
        <v>268</v>
      </c>
      <c r="E493" t="s">
        <v>376</v>
      </c>
      <c r="F493" s="134">
        <v>14.105279399</v>
      </c>
      <c r="G493" s="135">
        <v>31.643705906000001</v>
      </c>
      <c r="H493" s="135">
        <v>62.601259875000025</v>
      </c>
      <c r="I493" s="135">
        <v>110.79472836299999</v>
      </c>
      <c r="J493" s="136">
        <v>148.313268056</v>
      </c>
      <c r="K493" s="135">
        <v>5.8184800000000004E-4</v>
      </c>
      <c r="L493" s="135">
        <v>0.51382623599999999</v>
      </c>
      <c r="M493" s="135">
        <v>4.4579943689999997</v>
      </c>
      <c r="N493" s="135">
        <v>9.517198273</v>
      </c>
      <c r="O493" s="135">
        <v>13.339371438000001</v>
      </c>
      <c r="P493" s="134">
        <v>0</v>
      </c>
      <c r="Q493" s="135">
        <v>1.5572311000000002E-2</v>
      </c>
      <c r="R493" s="135">
        <v>0.798764853</v>
      </c>
      <c r="S493" s="135">
        <v>2.0273903470000003</v>
      </c>
      <c r="T493" s="136">
        <v>3.5156393500000003</v>
      </c>
      <c r="U493" s="135">
        <v>4.6925036000000003E-2</v>
      </c>
      <c r="V493" s="135">
        <v>0.22898459399999999</v>
      </c>
      <c r="W493" s="135">
        <v>2.220733788</v>
      </c>
      <c r="X493" s="135">
        <v>4.5490297789999996</v>
      </c>
      <c r="Y493" s="136">
        <v>5.4324213270000001</v>
      </c>
    </row>
    <row r="494" spans="1:25">
      <c r="A494" s="125" t="s">
        <v>52</v>
      </c>
      <c r="B494" t="s">
        <v>75</v>
      </c>
      <c r="C494" s="186" t="s">
        <v>125</v>
      </c>
      <c r="D494" t="s">
        <v>270</v>
      </c>
      <c r="E494" t="s">
        <v>376</v>
      </c>
      <c r="F494" s="134">
        <v>6.4575872889999992</v>
      </c>
      <c r="G494" s="135">
        <v>8.2854569720000004</v>
      </c>
      <c r="H494" s="135">
        <v>11.684056150000002</v>
      </c>
      <c r="I494" s="135">
        <v>17.347216060000001</v>
      </c>
      <c r="J494" s="136">
        <v>21.368124913999996</v>
      </c>
      <c r="K494" s="135">
        <v>2.41E-5</v>
      </c>
      <c r="L494" s="135">
        <v>0.19168186700000001</v>
      </c>
      <c r="M494" s="135">
        <v>1.7387193940000001</v>
      </c>
      <c r="N494" s="135">
        <v>4.0248462790000001</v>
      </c>
      <c r="O494" s="135">
        <v>5.9342636770000006</v>
      </c>
      <c r="P494" s="134">
        <v>0</v>
      </c>
      <c r="Q494" s="135">
        <v>4.8046129999999992E-3</v>
      </c>
      <c r="R494" s="135">
        <v>0.24102670000000001</v>
      </c>
      <c r="S494" s="135">
        <v>0.59896192300000006</v>
      </c>
      <c r="T494" s="136">
        <v>1.0269833930000001</v>
      </c>
      <c r="U494" s="135">
        <v>3.6244149000000003E-2</v>
      </c>
      <c r="V494" s="135">
        <v>0.14402638100000001</v>
      </c>
      <c r="W494" s="135">
        <v>1.5516167320000001</v>
      </c>
      <c r="X494" s="135">
        <v>3.2383365190000002</v>
      </c>
      <c r="Y494" s="136">
        <v>3.8289126869999999</v>
      </c>
    </row>
    <row r="495" spans="1:25">
      <c r="A495" s="125" t="s">
        <v>52</v>
      </c>
      <c r="B495" t="s">
        <v>75</v>
      </c>
      <c r="C495" s="186" t="s">
        <v>129</v>
      </c>
      <c r="D495" t="s">
        <v>272</v>
      </c>
      <c r="E495" t="s">
        <v>376</v>
      </c>
      <c r="F495" s="134">
        <v>3.2883292909999997</v>
      </c>
      <c r="G495" s="135">
        <v>8.1341469279999998</v>
      </c>
      <c r="H495" s="135">
        <v>11.995792618999999</v>
      </c>
      <c r="I495" s="135">
        <v>15.372799810000002</v>
      </c>
      <c r="J495" s="136">
        <v>17.590093962000001</v>
      </c>
      <c r="K495" s="135">
        <v>2.4394199999999998E-4</v>
      </c>
      <c r="L495" s="135">
        <v>0.12751833300000001</v>
      </c>
      <c r="M495" s="135">
        <v>0.63431580499999995</v>
      </c>
      <c r="N495" s="135">
        <v>1.2243518830000002</v>
      </c>
      <c r="O495" s="135">
        <v>2.0696445780000001</v>
      </c>
      <c r="P495" s="134">
        <v>0</v>
      </c>
      <c r="Q495" s="135">
        <v>2.0624700000000001E-4</v>
      </c>
      <c r="R495" s="135">
        <v>0.17312995700000003</v>
      </c>
      <c r="S495" s="135">
        <v>0.8893187589999999</v>
      </c>
      <c r="T495" s="136">
        <v>1.756333476</v>
      </c>
      <c r="U495" s="135">
        <v>7.2675577000000005E-2</v>
      </c>
      <c r="V495" s="135">
        <v>0.25689115699999998</v>
      </c>
      <c r="W495" s="135">
        <v>3.0569391640000001</v>
      </c>
      <c r="X495" s="135">
        <v>6.4150695550000005</v>
      </c>
      <c r="Y495" s="136">
        <v>7.5774101839999997</v>
      </c>
    </row>
    <row r="496" spans="1:25">
      <c r="A496" s="125" t="s">
        <v>52</v>
      </c>
      <c r="B496" t="s">
        <v>75</v>
      </c>
      <c r="C496" s="186" t="s">
        <v>129</v>
      </c>
      <c r="D496" t="s">
        <v>274</v>
      </c>
      <c r="E496" t="s">
        <v>376</v>
      </c>
      <c r="F496" s="134">
        <v>2.9233384250000003</v>
      </c>
      <c r="G496" s="135">
        <v>5.7720949560000001</v>
      </c>
      <c r="H496" s="135">
        <v>9.6497961180000011</v>
      </c>
      <c r="I496" s="135">
        <v>13.972605484000001</v>
      </c>
      <c r="J496" s="136">
        <v>17.073216547999998</v>
      </c>
      <c r="K496" s="135">
        <v>3.0320500000000002E-4</v>
      </c>
      <c r="L496" s="135">
        <v>0.15853329299999999</v>
      </c>
      <c r="M496" s="135">
        <v>0.82722186399999997</v>
      </c>
      <c r="N496" s="135">
        <v>1.7253176589999999</v>
      </c>
      <c r="O496" s="135">
        <v>3.0315234099999997</v>
      </c>
      <c r="P496" s="134">
        <v>0</v>
      </c>
      <c r="Q496" s="135">
        <v>1.2334999999999999E-4</v>
      </c>
      <c r="R496" s="135">
        <v>0.100045222</v>
      </c>
      <c r="S496" s="135">
        <v>0.50987767699999997</v>
      </c>
      <c r="T496" s="136">
        <v>1.002987318</v>
      </c>
      <c r="U496" s="135">
        <v>7.2452645999999996E-2</v>
      </c>
      <c r="V496" s="135">
        <v>0.25969477799999996</v>
      </c>
      <c r="W496" s="135">
        <v>3.0258850549999998</v>
      </c>
      <c r="X496" s="135">
        <v>6.3499070849999999</v>
      </c>
      <c r="Y496" s="136">
        <v>7.4886722850000007</v>
      </c>
    </row>
    <row r="497" spans="1:25">
      <c r="A497" s="125" t="s">
        <v>52</v>
      </c>
      <c r="B497" t="s">
        <v>75</v>
      </c>
      <c r="C497" s="186" t="s">
        <v>129</v>
      </c>
      <c r="D497" t="s">
        <v>276</v>
      </c>
      <c r="E497" t="s">
        <v>376</v>
      </c>
      <c r="F497" s="134">
        <v>1.324296648</v>
      </c>
      <c r="G497" s="135">
        <v>2.413590068</v>
      </c>
      <c r="H497" s="135">
        <v>3.514782936</v>
      </c>
      <c r="I497" s="135">
        <v>4.7285828319999998</v>
      </c>
      <c r="J497" s="136">
        <v>5.5963992300000012</v>
      </c>
      <c r="K497" s="135">
        <v>0</v>
      </c>
      <c r="L497" s="135">
        <v>0</v>
      </c>
      <c r="M497" s="135">
        <v>0.100204102</v>
      </c>
      <c r="N497" s="135">
        <v>0.52706336799999998</v>
      </c>
      <c r="O497" s="135">
        <v>1.189386931</v>
      </c>
      <c r="P497" s="134">
        <v>0</v>
      </c>
      <c r="Q497" s="135">
        <v>5.9589999999999997E-5</v>
      </c>
      <c r="R497" s="135">
        <v>4.9671640000000003E-2</v>
      </c>
      <c r="S497" s="135">
        <v>0.25417001799999994</v>
      </c>
      <c r="T497" s="136">
        <v>0.49945903599999997</v>
      </c>
      <c r="U497" s="135">
        <v>6.9108676999999993E-2</v>
      </c>
      <c r="V497" s="135">
        <v>0.243598226</v>
      </c>
      <c r="W497" s="135">
        <v>2.8805367349999997</v>
      </c>
      <c r="X497" s="135">
        <v>6.0526710829999999</v>
      </c>
      <c r="Y497" s="136">
        <v>7.140791031</v>
      </c>
    </row>
    <row r="498" spans="1:25">
      <c r="A498" s="125" t="s">
        <v>52</v>
      </c>
      <c r="B498" t="s">
        <v>75</v>
      </c>
      <c r="C498" s="186" t="s">
        <v>129</v>
      </c>
      <c r="D498" t="s">
        <v>278</v>
      </c>
      <c r="E498" t="s">
        <v>376</v>
      </c>
      <c r="F498" s="134">
        <v>2.9486896699999998</v>
      </c>
      <c r="G498" s="135">
        <v>5.9893895200000005</v>
      </c>
      <c r="H498" s="135">
        <v>10.269183726999998</v>
      </c>
      <c r="I498" s="135">
        <v>15.522489353000005</v>
      </c>
      <c r="J498" s="136">
        <v>19.464536056</v>
      </c>
      <c r="K498" s="135">
        <v>1.9920399999999997E-4</v>
      </c>
      <c r="L498" s="135">
        <v>0.10414863699999999</v>
      </c>
      <c r="M498" s="135">
        <v>0.52147429599999995</v>
      </c>
      <c r="N498" s="135">
        <v>1.017889015</v>
      </c>
      <c r="O498" s="135">
        <v>1.7307856930000001</v>
      </c>
      <c r="P498" s="134">
        <v>0</v>
      </c>
      <c r="Q498" s="135">
        <v>1.0554E-4</v>
      </c>
      <c r="R498" s="135">
        <v>8.4809319000000008E-2</v>
      </c>
      <c r="S498" s="135">
        <v>0.43428483899999998</v>
      </c>
      <c r="T498" s="136">
        <v>0.85691781100000008</v>
      </c>
      <c r="U498" s="135">
        <v>5.1497110999999998E-2</v>
      </c>
      <c r="V498" s="135">
        <v>0.185708123</v>
      </c>
      <c r="W498" s="135">
        <v>2.1640429979999998</v>
      </c>
      <c r="X498" s="135">
        <v>4.5357305649999997</v>
      </c>
      <c r="Y498" s="136">
        <v>5.352281101</v>
      </c>
    </row>
    <row r="499" spans="1:25">
      <c r="A499" s="125" t="s">
        <v>52</v>
      </c>
      <c r="B499" t="s">
        <v>75</v>
      </c>
      <c r="C499" s="186" t="s">
        <v>129</v>
      </c>
      <c r="D499" t="s">
        <v>280</v>
      </c>
      <c r="E499" t="s">
        <v>376</v>
      </c>
      <c r="F499" s="134">
        <v>1.5459631849999995</v>
      </c>
      <c r="G499" s="135">
        <v>2.8674530039999997</v>
      </c>
      <c r="H499" s="135">
        <v>4.2165400259999997</v>
      </c>
      <c r="I499" s="135">
        <v>5.786700741999999</v>
      </c>
      <c r="J499" s="136">
        <v>6.8643190450000002</v>
      </c>
      <c r="K499" s="135">
        <v>0</v>
      </c>
      <c r="L499" s="135">
        <v>0</v>
      </c>
      <c r="M499" s="135">
        <v>7.2601365000000001E-2</v>
      </c>
      <c r="N499" s="135">
        <v>0.38187577000000006</v>
      </c>
      <c r="O499" s="135">
        <v>0.8617522740000001</v>
      </c>
      <c r="P499" s="134">
        <v>0</v>
      </c>
      <c r="Q499" s="135">
        <v>4.4629999999999998E-5</v>
      </c>
      <c r="R499" s="135">
        <v>3.9028649999999998E-2</v>
      </c>
      <c r="S499" s="135">
        <v>0.196104742</v>
      </c>
      <c r="T499" s="136">
        <v>0.38072093699999998</v>
      </c>
      <c r="U499" s="135">
        <v>5.0382455E-2</v>
      </c>
      <c r="V499" s="135">
        <v>0.17758449099999998</v>
      </c>
      <c r="W499" s="135">
        <v>2.0935650990000001</v>
      </c>
      <c r="X499" s="135">
        <v>4.40057688</v>
      </c>
      <c r="Y499" s="136">
        <v>5.1892229079999996</v>
      </c>
    </row>
    <row r="500" spans="1:25">
      <c r="A500" s="125" t="s">
        <v>52</v>
      </c>
      <c r="B500" t="s">
        <v>75</v>
      </c>
      <c r="C500" s="186" t="s">
        <v>129</v>
      </c>
      <c r="D500" t="s">
        <v>282</v>
      </c>
      <c r="E500" t="s">
        <v>376</v>
      </c>
      <c r="F500" s="134">
        <v>2.7144362589999997</v>
      </c>
      <c r="G500" s="135">
        <v>6.2534965040000001</v>
      </c>
      <c r="H500" s="135">
        <v>12.437591471000001</v>
      </c>
      <c r="I500" s="135">
        <v>19.828111834000001</v>
      </c>
      <c r="J500" s="136">
        <v>25.253040789999996</v>
      </c>
      <c r="K500" s="135">
        <v>1.8996099999999999E-4</v>
      </c>
      <c r="L500" s="135">
        <v>9.9339945000000013E-2</v>
      </c>
      <c r="M500" s="135">
        <v>0.516036253</v>
      </c>
      <c r="N500" s="135">
        <v>1.0689317890000001</v>
      </c>
      <c r="O500" s="135">
        <v>1.872113197</v>
      </c>
      <c r="P500" s="134">
        <v>0</v>
      </c>
      <c r="Q500" s="135">
        <v>9.8789999999999994E-5</v>
      </c>
      <c r="R500" s="135">
        <v>6.0860401000000008E-2</v>
      </c>
      <c r="S500" s="135">
        <v>0.30597379299999999</v>
      </c>
      <c r="T500" s="136">
        <v>0.60187635400000006</v>
      </c>
      <c r="U500" s="135">
        <v>3.4108475999999999E-2</v>
      </c>
      <c r="V500" s="135">
        <v>0.12288025300000001</v>
      </c>
      <c r="W500" s="135">
        <v>1.4238546990000001</v>
      </c>
      <c r="X500" s="135">
        <v>2.9855239979999997</v>
      </c>
      <c r="Y500" s="136">
        <v>3.5184807730000003</v>
      </c>
    </row>
    <row r="501" spans="1:25">
      <c r="A501" s="125" t="s">
        <v>52</v>
      </c>
      <c r="B501" t="s">
        <v>75</v>
      </c>
      <c r="C501" s="186" t="s">
        <v>129</v>
      </c>
      <c r="D501" t="s">
        <v>284</v>
      </c>
      <c r="E501" t="s">
        <v>376</v>
      </c>
      <c r="F501" s="134">
        <v>2.2777565489999998</v>
      </c>
      <c r="G501" s="135">
        <v>4.7540447870000007</v>
      </c>
      <c r="H501" s="135">
        <v>8.2768460140000002</v>
      </c>
      <c r="I501" s="135">
        <v>13.443588779999999</v>
      </c>
      <c r="J501" s="136">
        <v>17.501174075000002</v>
      </c>
      <c r="K501" s="135">
        <v>0</v>
      </c>
      <c r="L501" s="135">
        <v>0</v>
      </c>
      <c r="M501" s="135">
        <v>9.4519032000000003E-2</v>
      </c>
      <c r="N501" s="135">
        <v>0.49716046699999994</v>
      </c>
      <c r="O501" s="135">
        <v>1.121907148</v>
      </c>
      <c r="P501" s="134">
        <v>0</v>
      </c>
      <c r="Q501" s="135">
        <v>8.9279999999999999E-5</v>
      </c>
      <c r="R501" s="135">
        <v>8.6281914000000015E-2</v>
      </c>
      <c r="S501" s="135">
        <v>0.44260845799999998</v>
      </c>
      <c r="T501" s="136">
        <v>0.88628152100000002</v>
      </c>
      <c r="U501" s="135">
        <v>1.4713459999999999E-2</v>
      </c>
      <c r="V501" s="135">
        <v>5.3880890000000001E-2</v>
      </c>
      <c r="W501" s="135">
        <v>0.67477630399999999</v>
      </c>
      <c r="X501" s="135">
        <v>1.3977248529999999</v>
      </c>
      <c r="Y501" s="136">
        <v>1.6669290649999999</v>
      </c>
    </row>
    <row r="502" spans="1:25">
      <c r="A502" s="125" t="s">
        <v>52</v>
      </c>
      <c r="B502" t="s">
        <v>75</v>
      </c>
      <c r="C502" s="186" t="s">
        <v>288</v>
      </c>
      <c r="D502" t="s">
        <v>286</v>
      </c>
      <c r="E502" t="s">
        <v>376</v>
      </c>
      <c r="F502" s="134">
        <v>4.6617384319999999</v>
      </c>
      <c r="G502" s="135">
        <v>7.8861123979999999</v>
      </c>
      <c r="H502" s="135">
        <v>11.047453204</v>
      </c>
      <c r="I502" s="135">
        <v>15.892189042000002</v>
      </c>
      <c r="J502" s="136">
        <v>19.726742188999999</v>
      </c>
      <c r="K502" s="135">
        <v>1.5798299999999999E-4</v>
      </c>
      <c r="L502" s="135">
        <v>4.1719447999999999E-2</v>
      </c>
      <c r="M502" s="135">
        <v>0.12357452400000001</v>
      </c>
      <c r="N502" s="135">
        <v>0.120661933</v>
      </c>
      <c r="O502" s="135">
        <v>0.11108918299999999</v>
      </c>
      <c r="P502" s="134">
        <v>3.547873E-3</v>
      </c>
      <c r="Q502" s="135">
        <v>9.2236204999999988E-2</v>
      </c>
      <c r="R502" s="135">
        <v>0.41375479999999992</v>
      </c>
      <c r="S502" s="135">
        <v>0.72285321499999999</v>
      </c>
      <c r="T502" s="136">
        <v>1.0556999060000001</v>
      </c>
      <c r="U502" s="135">
        <v>7.3028108999999994E-2</v>
      </c>
      <c r="V502" s="135">
        <v>0.29880680399999998</v>
      </c>
      <c r="W502" s="135">
        <v>3.514619089</v>
      </c>
      <c r="X502" s="135">
        <v>7.2358731429999992</v>
      </c>
      <c r="Y502" s="136">
        <v>8.6882583419999992</v>
      </c>
    </row>
    <row r="503" spans="1:25">
      <c r="A503" s="125" t="s">
        <v>52</v>
      </c>
      <c r="B503" t="s">
        <v>75</v>
      </c>
      <c r="C503" s="186" t="s">
        <v>288</v>
      </c>
      <c r="D503" t="s">
        <v>289</v>
      </c>
      <c r="E503" t="s">
        <v>376</v>
      </c>
      <c r="F503" s="134">
        <v>1.3766263000000001E-2</v>
      </c>
      <c r="G503" s="135">
        <v>2.2690711000000002E-2</v>
      </c>
      <c r="H503" s="135">
        <v>2.9151042000000002E-2</v>
      </c>
      <c r="I503" s="135">
        <v>3.3866586000000004E-2</v>
      </c>
      <c r="J503" s="136">
        <v>3.6257462999999997E-2</v>
      </c>
      <c r="K503" s="135">
        <v>0</v>
      </c>
      <c r="L503" s="135">
        <v>0</v>
      </c>
      <c r="M503" s="135">
        <v>0</v>
      </c>
      <c r="N503" s="135">
        <v>0</v>
      </c>
      <c r="O503" s="135">
        <v>0</v>
      </c>
      <c r="P503" s="134">
        <v>7.6725999999999997E-5</v>
      </c>
      <c r="Q503" s="135">
        <v>1.4129450000000001E-3</v>
      </c>
      <c r="R503" s="135">
        <v>6.5671889999999993E-3</v>
      </c>
      <c r="S503" s="135">
        <v>1.1017101999999999E-2</v>
      </c>
      <c r="T503" s="136">
        <v>1.6021652999999997E-2</v>
      </c>
      <c r="U503" s="135">
        <v>0</v>
      </c>
      <c r="V503" s="135">
        <v>0</v>
      </c>
      <c r="W503" s="135">
        <v>2.1909336000000001E-2</v>
      </c>
      <c r="X503" s="135">
        <v>4.0623924999999998E-2</v>
      </c>
      <c r="Y503" s="136">
        <v>5.5858893E-2</v>
      </c>
    </row>
    <row r="504" spans="1:25">
      <c r="A504" s="125" t="s">
        <v>52</v>
      </c>
      <c r="B504" t="s">
        <v>75</v>
      </c>
      <c r="C504" s="186" t="s">
        <v>288</v>
      </c>
      <c r="D504" t="s">
        <v>291</v>
      </c>
      <c r="E504" t="s">
        <v>376</v>
      </c>
      <c r="F504" s="134">
        <v>8.0013540000000005E-3</v>
      </c>
      <c r="G504" s="135">
        <v>1.3272305E-2</v>
      </c>
      <c r="H504" s="135">
        <v>1.7102126000000002E-2</v>
      </c>
      <c r="I504" s="135">
        <v>2.0204130000000001E-2</v>
      </c>
      <c r="J504" s="136">
        <v>2.1837998000000001E-2</v>
      </c>
      <c r="K504" s="135">
        <v>0</v>
      </c>
      <c r="L504" s="135">
        <v>0</v>
      </c>
      <c r="M504" s="135">
        <v>0</v>
      </c>
      <c r="N504" s="135">
        <v>0</v>
      </c>
      <c r="O504" s="135">
        <v>0</v>
      </c>
      <c r="P504" s="134">
        <v>9.9415999999999998E-5</v>
      </c>
      <c r="Q504" s="135">
        <v>1.8125509999999999E-3</v>
      </c>
      <c r="R504" s="135">
        <v>8.3888879999999989E-3</v>
      </c>
      <c r="S504" s="135">
        <v>1.3967532000000003E-2</v>
      </c>
      <c r="T504" s="136">
        <v>2.0224153000000005E-2</v>
      </c>
      <c r="U504" s="135">
        <v>0</v>
      </c>
      <c r="V504" s="135">
        <v>0</v>
      </c>
      <c r="W504" s="135">
        <v>2.5791425999999999E-2</v>
      </c>
      <c r="X504" s="135">
        <v>4.7862565000000003E-2</v>
      </c>
      <c r="Y504" s="136">
        <v>6.5885920000000001E-2</v>
      </c>
    </row>
    <row r="505" spans="1:25">
      <c r="A505" s="125" t="s">
        <v>52</v>
      </c>
      <c r="B505" t="s">
        <v>75</v>
      </c>
      <c r="C505" s="186" t="s">
        <v>347</v>
      </c>
      <c r="D505" t="s">
        <v>345</v>
      </c>
      <c r="E505" t="s">
        <v>376</v>
      </c>
      <c r="F505" s="134">
        <v>1.4667305349999999</v>
      </c>
      <c r="G505" s="135">
        <v>2.2057765209999998</v>
      </c>
      <c r="H505" s="135">
        <v>2.5935800890000005</v>
      </c>
      <c r="I505" s="135">
        <v>3.0550685180000006</v>
      </c>
      <c r="J505" s="136">
        <v>3.2189577160000002</v>
      </c>
      <c r="K505" s="135">
        <v>0</v>
      </c>
      <c r="L505" s="135">
        <v>0</v>
      </c>
      <c r="M505" s="135">
        <v>0.13517447999999999</v>
      </c>
      <c r="N505" s="135">
        <v>0.61342561500000004</v>
      </c>
      <c r="O505" s="135">
        <v>0.69548041199999999</v>
      </c>
      <c r="P505" s="134">
        <v>3.1409999999999999E-5</v>
      </c>
      <c r="Q505" s="135">
        <v>1.8713620000000001E-3</v>
      </c>
      <c r="R505" s="135">
        <v>0.14454382300000002</v>
      </c>
      <c r="S505" s="135">
        <v>0.40033206899999996</v>
      </c>
      <c r="T505" s="136">
        <v>0.483340137</v>
      </c>
      <c r="U505" s="135">
        <v>2.3814551999999999E-2</v>
      </c>
      <c r="V505" s="135">
        <v>8.9523921999999992E-2</v>
      </c>
      <c r="W505" s="135">
        <v>1.0081415890000001</v>
      </c>
      <c r="X505" s="135">
        <v>2.1022489970000002</v>
      </c>
      <c r="Y505" s="136">
        <v>2.4758246119999998</v>
      </c>
    </row>
    <row r="506" spans="1:25">
      <c r="A506" s="125" t="s">
        <v>52</v>
      </c>
      <c r="B506" t="s">
        <v>75</v>
      </c>
      <c r="C506" s="186" t="s">
        <v>347</v>
      </c>
      <c r="D506" t="s">
        <v>348</v>
      </c>
      <c r="E506" t="s">
        <v>376</v>
      </c>
      <c r="F506" s="134">
        <v>1.6742181989999998</v>
      </c>
      <c r="G506" s="135">
        <v>3.8076228259999998</v>
      </c>
      <c r="H506" s="135">
        <v>5.8135811390000001</v>
      </c>
      <c r="I506" s="135">
        <v>8.903855128</v>
      </c>
      <c r="J506" s="136">
        <v>12.469776180000004</v>
      </c>
      <c r="K506" s="135">
        <v>8.03E-5</v>
      </c>
      <c r="L506" s="135">
        <v>1.2340845999999999E-2</v>
      </c>
      <c r="M506" s="135">
        <v>0.597453181</v>
      </c>
      <c r="N506" s="135">
        <v>1.008686967</v>
      </c>
      <c r="O506" s="135">
        <v>0.86284047900000005</v>
      </c>
      <c r="P506" s="134">
        <v>3.4805000000000003E-5</v>
      </c>
      <c r="Q506" s="135">
        <v>2.5157949999999999E-3</v>
      </c>
      <c r="R506" s="135">
        <v>0.162946175</v>
      </c>
      <c r="S506" s="135">
        <v>0.45270822100000002</v>
      </c>
      <c r="T506" s="136">
        <v>0.54554943200000006</v>
      </c>
      <c r="U506" s="135">
        <v>8.9455679999999992E-3</v>
      </c>
      <c r="V506" s="135">
        <v>4.8369546999999999E-2</v>
      </c>
      <c r="W506" s="135">
        <v>0.40791277100000001</v>
      </c>
      <c r="X506" s="135">
        <v>0.82438892100000005</v>
      </c>
      <c r="Y506" s="136">
        <v>0.96749573899999997</v>
      </c>
    </row>
    <row r="507" spans="1:25">
      <c r="A507" s="125" t="s">
        <v>52</v>
      </c>
      <c r="B507" t="s">
        <v>75</v>
      </c>
      <c r="C507" s="186" t="s">
        <v>347</v>
      </c>
      <c r="D507" t="s">
        <v>350</v>
      </c>
      <c r="E507" t="s">
        <v>376</v>
      </c>
      <c r="F507" s="134">
        <v>2.1861314749999998</v>
      </c>
      <c r="G507" s="135">
        <v>4.2981561420000007</v>
      </c>
      <c r="H507" s="135">
        <v>7.362478351</v>
      </c>
      <c r="I507" s="135">
        <v>12.448685575000001</v>
      </c>
      <c r="J507" s="136">
        <v>16.417136054999997</v>
      </c>
      <c r="K507" s="135">
        <v>7.0500000000000006E-5</v>
      </c>
      <c r="L507" s="135">
        <v>1.0837391E-2</v>
      </c>
      <c r="M507" s="135">
        <v>0.51982093399999996</v>
      </c>
      <c r="N507" s="135">
        <v>0.863809893</v>
      </c>
      <c r="O507" s="135">
        <v>0.73278988</v>
      </c>
      <c r="P507" s="134">
        <v>3.2760000000000005E-5</v>
      </c>
      <c r="Q507" s="135">
        <v>1.2729289999999999E-3</v>
      </c>
      <c r="R507" s="135">
        <v>0.110382718</v>
      </c>
      <c r="S507" s="135">
        <v>0.300378327</v>
      </c>
      <c r="T507" s="136">
        <v>0.36026392299999999</v>
      </c>
      <c r="U507" s="135">
        <v>4.1222143000000003E-2</v>
      </c>
      <c r="V507" s="135">
        <v>0.15249111300000001</v>
      </c>
      <c r="W507" s="135">
        <v>1.7570893699999999</v>
      </c>
      <c r="X507" s="135">
        <v>3.6747921400000001</v>
      </c>
      <c r="Y507" s="136">
        <v>4.3441945619999993</v>
      </c>
    </row>
    <row r="508" spans="1:25">
      <c r="A508" s="125" t="s">
        <v>52</v>
      </c>
      <c r="B508" t="s">
        <v>75</v>
      </c>
      <c r="C508" s="186" t="s">
        <v>347</v>
      </c>
      <c r="D508" t="s">
        <v>352</v>
      </c>
      <c r="E508" t="s">
        <v>376</v>
      </c>
      <c r="F508" s="134">
        <v>0.41060566999999998</v>
      </c>
      <c r="G508" s="135">
        <v>0.72210012299999993</v>
      </c>
      <c r="H508" s="135">
        <v>1.0210156210000001</v>
      </c>
      <c r="I508" s="135">
        <v>1.3367107379999998</v>
      </c>
      <c r="J508" s="136">
        <v>1.4887585410000002</v>
      </c>
      <c r="K508" s="135">
        <v>0</v>
      </c>
      <c r="L508" s="135">
        <v>0</v>
      </c>
      <c r="M508" s="135">
        <v>0.106959466</v>
      </c>
      <c r="N508" s="135">
        <v>0.48538508400000002</v>
      </c>
      <c r="O508" s="135">
        <v>0.55031255500000009</v>
      </c>
      <c r="P508" s="134">
        <v>1.8710000000000002E-5</v>
      </c>
      <c r="Q508" s="135">
        <v>7.1961300000000002E-4</v>
      </c>
      <c r="R508" s="135">
        <v>6.1982107000000009E-2</v>
      </c>
      <c r="S508" s="135">
        <v>0.16747310700000001</v>
      </c>
      <c r="T508" s="136">
        <v>0.19815103000000001</v>
      </c>
      <c r="U508" s="135">
        <v>2.5506956000000001E-2</v>
      </c>
      <c r="V508" s="135">
        <v>0.10039257600000001</v>
      </c>
      <c r="W508" s="135">
        <v>1.08403541</v>
      </c>
      <c r="X508" s="135">
        <v>2.2568025060000001</v>
      </c>
      <c r="Y508" s="136">
        <v>2.6581401820000004</v>
      </c>
    </row>
    <row r="509" spans="1:25">
      <c r="A509" s="125" t="s">
        <v>52</v>
      </c>
      <c r="B509" t="s">
        <v>75</v>
      </c>
      <c r="C509" s="186" t="s">
        <v>131</v>
      </c>
      <c r="D509" t="s">
        <v>314</v>
      </c>
      <c r="E509" t="s">
        <v>376</v>
      </c>
      <c r="F509" s="134">
        <v>1.4388349209999998</v>
      </c>
      <c r="G509" s="135">
        <v>2.5891703549999998</v>
      </c>
      <c r="H509" s="135">
        <v>3.4215831780000001</v>
      </c>
      <c r="I509" s="135">
        <v>4.6167539929999997</v>
      </c>
      <c r="J509" s="136">
        <v>5.7111895050000001</v>
      </c>
      <c r="K509" s="135">
        <v>0</v>
      </c>
      <c r="L509" s="135">
        <v>0</v>
      </c>
      <c r="M509" s="135">
        <v>0</v>
      </c>
      <c r="N509" s="135">
        <v>0</v>
      </c>
      <c r="O509" s="135">
        <v>0</v>
      </c>
      <c r="P509" s="134">
        <v>0</v>
      </c>
      <c r="Q509" s="135">
        <v>8.9500000000000007E-5</v>
      </c>
      <c r="R509" s="135">
        <v>8.9999999999999992E-5</v>
      </c>
      <c r="S509" s="135">
        <v>9.0400000000000002E-5</v>
      </c>
      <c r="T509" s="136">
        <v>9.0699999999999996E-5</v>
      </c>
      <c r="U509" s="135">
        <v>2.3717074000000001E-2</v>
      </c>
      <c r="V509" s="135">
        <v>0.105934612</v>
      </c>
      <c r="W509" s="135">
        <v>2.7979962669999998</v>
      </c>
      <c r="X509" s="135">
        <v>5.4147410960000002</v>
      </c>
      <c r="Y509" s="136">
        <v>7.0338808110000013</v>
      </c>
    </row>
    <row r="510" spans="1:25">
      <c r="A510" s="125" t="s">
        <v>52</v>
      </c>
      <c r="B510" t="s">
        <v>75</v>
      </c>
      <c r="C510" s="186" t="s">
        <v>131</v>
      </c>
      <c r="D510" t="s">
        <v>316</v>
      </c>
      <c r="E510" t="s">
        <v>376</v>
      </c>
      <c r="F510" s="134">
        <v>5.1718268230000009</v>
      </c>
      <c r="G510" s="135">
        <v>10.269137377</v>
      </c>
      <c r="H510" s="135">
        <v>17.531546232000004</v>
      </c>
      <c r="I510" s="135">
        <v>28.196362055999995</v>
      </c>
      <c r="J510" s="136">
        <v>36.564631769999991</v>
      </c>
      <c r="K510" s="135">
        <v>0</v>
      </c>
      <c r="L510" s="135">
        <v>0</v>
      </c>
      <c r="M510" s="135">
        <v>0</v>
      </c>
      <c r="N510" s="135">
        <v>0</v>
      </c>
      <c r="O510" s="135">
        <v>0</v>
      </c>
      <c r="P510" s="134">
        <v>0</v>
      </c>
      <c r="Q510" s="135">
        <v>7.6009999999999999E-5</v>
      </c>
      <c r="R510" s="135">
        <v>7.6130000000000005E-5</v>
      </c>
      <c r="S510" s="135">
        <v>7.6359999999999994E-5</v>
      </c>
      <c r="T510" s="136">
        <v>7.6500000000000003E-5</v>
      </c>
      <c r="U510" s="135">
        <v>2.9790958999999999E-2</v>
      </c>
      <c r="V510" s="135">
        <v>0.12497453</v>
      </c>
      <c r="W510" s="135">
        <v>1.8648959700000001</v>
      </c>
      <c r="X510" s="135">
        <v>3.746740162</v>
      </c>
      <c r="Y510" s="136">
        <v>4.6350766720000003</v>
      </c>
    </row>
    <row r="511" spans="1:25">
      <c r="A511" s="125" t="s">
        <v>52</v>
      </c>
      <c r="B511" t="s">
        <v>75</v>
      </c>
      <c r="C511" s="186" t="s">
        <v>131</v>
      </c>
      <c r="D511" t="s">
        <v>318</v>
      </c>
      <c r="E511" t="s">
        <v>376</v>
      </c>
      <c r="F511" s="134">
        <v>1.665038061</v>
      </c>
      <c r="G511" s="135">
        <v>2.8323201719999997</v>
      </c>
      <c r="H511" s="135">
        <v>3.4834073640000005</v>
      </c>
      <c r="I511" s="135">
        <v>4.6816292370000001</v>
      </c>
      <c r="J511" s="136">
        <v>6.03101588</v>
      </c>
      <c r="K511" s="135">
        <v>0</v>
      </c>
      <c r="L511" s="135">
        <v>0</v>
      </c>
      <c r="M511" s="135">
        <v>0</v>
      </c>
      <c r="N511" s="135">
        <v>0</v>
      </c>
      <c r="O511" s="135">
        <v>0</v>
      </c>
      <c r="P511" s="134">
        <v>0</v>
      </c>
      <c r="Q511" s="135">
        <v>3.6510000000000001E-5</v>
      </c>
      <c r="R511" s="135">
        <v>3.5840000000000002E-5</v>
      </c>
      <c r="S511" s="135">
        <v>3.5310000000000006E-5</v>
      </c>
      <c r="T511" s="136">
        <v>3.4910000000000003E-5</v>
      </c>
      <c r="U511" s="135">
        <v>2.5768000000000002E-3</v>
      </c>
      <c r="V511" s="135">
        <v>1.9636431000000003E-2</v>
      </c>
      <c r="W511" s="135">
        <v>0.32062636500000002</v>
      </c>
      <c r="X511" s="135">
        <v>0.60844551599999996</v>
      </c>
      <c r="Y511" s="136">
        <v>0.78674088399999997</v>
      </c>
    </row>
    <row r="512" spans="1:25">
      <c r="A512" s="125" t="s">
        <v>52</v>
      </c>
      <c r="B512" t="s">
        <v>75</v>
      </c>
      <c r="C512" s="186" t="s">
        <v>298</v>
      </c>
      <c r="D512" t="s">
        <v>296</v>
      </c>
      <c r="E512" t="s">
        <v>376</v>
      </c>
      <c r="F512" s="134">
        <v>1.871984404</v>
      </c>
      <c r="G512" s="135">
        <v>2.905384529</v>
      </c>
      <c r="H512" s="135">
        <v>3.5435892339999997</v>
      </c>
      <c r="I512" s="135">
        <v>4.1572762670000003</v>
      </c>
      <c r="J512" s="136">
        <v>4.4986287969999994</v>
      </c>
      <c r="K512" s="135">
        <v>0</v>
      </c>
      <c r="L512" s="135">
        <v>5.8144569999999994E-3</v>
      </c>
      <c r="M512" s="135">
        <v>3.2668302999999996E-2</v>
      </c>
      <c r="N512" s="135">
        <v>7.3791217000000006E-2</v>
      </c>
      <c r="O512" s="135">
        <v>8.0555389000000005E-2</v>
      </c>
      <c r="P512" s="134">
        <v>0</v>
      </c>
      <c r="Q512" s="135">
        <v>7.8926000000000018E-4</v>
      </c>
      <c r="R512" s="135">
        <v>4.2995429999999994E-3</v>
      </c>
      <c r="S512" s="135">
        <v>8.3862399999999979E-3</v>
      </c>
      <c r="T512" s="136">
        <v>1.5903864E-2</v>
      </c>
      <c r="U512" s="135">
        <v>2.508165E-2</v>
      </c>
      <c r="V512" s="135">
        <v>8.6882972000000003E-2</v>
      </c>
      <c r="W512" s="135">
        <v>1.0920385349999999</v>
      </c>
      <c r="X512" s="135">
        <v>2.286390624</v>
      </c>
      <c r="Y512" s="136">
        <v>2.7168414149999998</v>
      </c>
    </row>
    <row r="513" spans="1:25">
      <c r="A513" s="125" t="s">
        <v>52</v>
      </c>
      <c r="B513" t="s">
        <v>75</v>
      </c>
      <c r="C513" s="186" t="s">
        <v>295</v>
      </c>
      <c r="D513" t="s">
        <v>293</v>
      </c>
      <c r="E513" t="s">
        <v>376</v>
      </c>
      <c r="F513" s="134">
        <v>4.1000971010000002</v>
      </c>
      <c r="G513" s="135">
        <v>8.8305930189999984</v>
      </c>
      <c r="H513" s="135">
        <v>13.818022892</v>
      </c>
      <c r="I513" s="135">
        <v>20.158406779</v>
      </c>
      <c r="J513" s="136">
        <v>23.880851122999996</v>
      </c>
      <c r="K513" s="135">
        <v>0</v>
      </c>
      <c r="L513" s="135">
        <v>3.5589491000000001E-2</v>
      </c>
      <c r="M513" s="135">
        <v>0.96814402100000008</v>
      </c>
      <c r="N513" s="135">
        <v>2.6667515719999999</v>
      </c>
      <c r="O513" s="135">
        <v>4.0638728000000004</v>
      </c>
      <c r="P513" s="134">
        <v>0</v>
      </c>
      <c r="Q513" s="135">
        <v>6.1483499999999999E-4</v>
      </c>
      <c r="R513" s="135">
        <v>0.16862377299999998</v>
      </c>
      <c r="S513" s="135">
        <v>0.74413716200000002</v>
      </c>
      <c r="T513" s="136">
        <v>1.195052306</v>
      </c>
      <c r="U513" s="135">
        <v>3.8324838999999999E-2</v>
      </c>
      <c r="V513" s="135">
        <v>0.13350329999999999</v>
      </c>
      <c r="W513" s="135">
        <v>1.685044561</v>
      </c>
      <c r="X513" s="135">
        <v>3.5234158170000001</v>
      </c>
      <c r="Y513" s="136">
        <v>4.1920867260000003</v>
      </c>
    </row>
    <row r="514" spans="1:25">
      <c r="A514" s="125" t="s">
        <v>52</v>
      </c>
      <c r="B514" t="s">
        <v>75</v>
      </c>
      <c r="C514" s="186" t="s">
        <v>322</v>
      </c>
      <c r="D514" t="s">
        <v>320</v>
      </c>
      <c r="E514" t="s">
        <v>376</v>
      </c>
      <c r="F514" s="134">
        <v>2.081962844</v>
      </c>
      <c r="G514" s="135">
        <v>3.4559037149999998</v>
      </c>
      <c r="H514" s="135">
        <v>4.6093085280000015</v>
      </c>
      <c r="I514" s="135">
        <v>5.7864947550000005</v>
      </c>
      <c r="J514" s="136">
        <v>6.3965797319999993</v>
      </c>
      <c r="K514" s="135">
        <v>0</v>
      </c>
      <c r="L514" s="135">
        <v>0</v>
      </c>
      <c r="M514" s="135">
        <v>0.75050045500000007</v>
      </c>
      <c r="N514" s="135">
        <v>3.0326831240000001</v>
      </c>
      <c r="O514" s="135">
        <v>4.4603471130000001</v>
      </c>
      <c r="P514" s="134">
        <v>2.5402699999999999E-4</v>
      </c>
      <c r="Q514" s="135">
        <v>9.8089349999999995E-3</v>
      </c>
      <c r="R514" s="135">
        <v>8.3816534000000012E-2</v>
      </c>
      <c r="S514" s="135">
        <v>0.17109695000000003</v>
      </c>
      <c r="T514" s="136">
        <v>0.243396207</v>
      </c>
      <c r="U514" s="135">
        <v>3.6885960000000001E-3</v>
      </c>
      <c r="V514" s="135">
        <v>4.8640070999999993E-2</v>
      </c>
      <c r="W514" s="135">
        <v>0.24487494200000001</v>
      </c>
      <c r="X514" s="135">
        <v>0.45251572699999998</v>
      </c>
      <c r="Y514" s="136">
        <v>0.54063135699999998</v>
      </c>
    </row>
    <row r="515" spans="1:25">
      <c r="A515" s="125" t="s">
        <v>52</v>
      </c>
      <c r="B515" t="s">
        <v>75</v>
      </c>
      <c r="C515" s="186" t="s">
        <v>322</v>
      </c>
      <c r="D515" t="s">
        <v>323</v>
      </c>
      <c r="E515" t="s">
        <v>376</v>
      </c>
      <c r="F515" s="134">
        <v>5.180099953</v>
      </c>
      <c r="G515" s="135">
        <v>7.1664214929999996</v>
      </c>
      <c r="H515" s="135">
        <v>10.841930668</v>
      </c>
      <c r="I515" s="135">
        <v>16.293044051000003</v>
      </c>
      <c r="J515" s="136">
        <v>20.918364003000001</v>
      </c>
      <c r="K515" s="135">
        <v>5.5630190000000006E-3</v>
      </c>
      <c r="L515" s="135">
        <v>1.172162615</v>
      </c>
      <c r="M515" s="135">
        <v>5.3669419999999999</v>
      </c>
      <c r="N515" s="135">
        <v>9.7884965409999989</v>
      </c>
      <c r="O515" s="135">
        <v>11.851405797</v>
      </c>
      <c r="P515" s="134">
        <v>5.1515799999999994E-4</v>
      </c>
      <c r="Q515" s="135">
        <v>2.8630811000000003E-2</v>
      </c>
      <c r="R515" s="135">
        <v>0.26624361200000002</v>
      </c>
      <c r="S515" s="135">
        <v>0.544630485</v>
      </c>
      <c r="T515" s="136">
        <v>0.76858550700000006</v>
      </c>
      <c r="U515" s="135">
        <v>4.1719298000000002E-2</v>
      </c>
      <c r="V515" s="135">
        <v>0.21347383999999997</v>
      </c>
      <c r="W515" s="135">
        <v>2.0183834570000001</v>
      </c>
      <c r="X515" s="135">
        <v>4.1099350379999997</v>
      </c>
      <c r="Y515" s="136">
        <v>4.9113256189999994</v>
      </c>
    </row>
    <row r="516" spans="1:25">
      <c r="A516" s="125" t="s">
        <v>52</v>
      </c>
      <c r="B516" t="s">
        <v>75</v>
      </c>
      <c r="C516" s="186" t="s">
        <v>322</v>
      </c>
      <c r="D516" t="s">
        <v>325</v>
      </c>
      <c r="E516" t="s">
        <v>376</v>
      </c>
      <c r="F516" s="134">
        <v>5.7121574729999995</v>
      </c>
      <c r="G516" s="135">
        <v>11.095834536000002</v>
      </c>
      <c r="H516" s="135">
        <v>18.849283565</v>
      </c>
      <c r="I516" s="135">
        <v>29.468461525999999</v>
      </c>
      <c r="J516" s="136">
        <v>37.547264786000007</v>
      </c>
      <c r="K516" s="135">
        <v>3.2279940000000005E-3</v>
      </c>
      <c r="L516" s="135">
        <v>0.9548162389999999</v>
      </c>
      <c r="M516" s="135">
        <v>4.2247964439999999</v>
      </c>
      <c r="N516" s="135">
        <v>7.3668806680000003</v>
      </c>
      <c r="O516" s="135">
        <v>8.75872721</v>
      </c>
      <c r="P516" s="134">
        <v>4.34325E-4</v>
      </c>
      <c r="Q516" s="135">
        <v>1.8030938E-2</v>
      </c>
      <c r="R516" s="135">
        <v>0.15435494899999999</v>
      </c>
      <c r="S516" s="135">
        <v>0.31450552700000001</v>
      </c>
      <c r="T516" s="136">
        <v>0.44632619199999995</v>
      </c>
      <c r="U516" s="135">
        <v>2.7664474000000001E-2</v>
      </c>
      <c r="V516" s="135">
        <v>0.26891668899999999</v>
      </c>
      <c r="W516" s="135">
        <v>1.4988974579999998</v>
      </c>
      <c r="X516" s="135">
        <v>2.9132908369999999</v>
      </c>
      <c r="Y516" s="136">
        <v>3.470724616</v>
      </c>
    </row>
    <row r="517" spans="1:25">
      <c r="A517" s="125" t="s">
        <v>52</v>
      </c>
      <c r="B517" t="s">
        <v>75</v>
      </c>
      <c r="C517" s="186" t="s">
        <v>322</v>
      </c>
      <c r="D517" t="s">
        <v>327</v>
      </c>
      <c r="E517" t="s">
        <v>376</v>
      </c>
      <c r="F517" s="134">
        <v>2.5381392479999998</v>
      </c>
      <c r="G517" s="135">
        <v>3.2995981130000001</v>
      </c>
      <c r="H517" s="135">
        <v>4.4523570440000011</v>
      </c>
      <c r="I517" s="135">
        <v>5.1253095830000008</v>
      </c>
      <c r="J517" s="136">
        <v>5.6951777049999999</v>
      </c>
      <c r="K517" s="135">
        <v>0</v>
      </c>
      <c r="L517" s="135">
        <v>0</v>
      </c>
      <c r="M517" s="135">
        <v>1.2550221429999999</v>
      </c>
      <c r="N517" s="135">
        <v>5.071394958</v>
      </c>
      <c r="O517" s="135">
        <v>7.4588014359999999</v>
      </c>
      <c r="P517" s="134">
        <v>2.4894799999999998E-4</v>
      </c>
      <c r="Q517" s="135">
        <v>1.6666682999999998E-2</v>
      </c>
      <c r="R517" s="135">
        <v>0.15713766800000001</v>
      </c>
      <c r="S517" s="135">
        <v>0.32349842099999992</v>
      </c>
      <c r="T517" s="136">
        <v>0.45427016600000003</v>
      </c>
      <c r="U517" s="135">
        <v>1.2719298E-2</v>
      </c>
      <c r="V517" s="135">
        <v>0.114632083</v>
      </c>
      <c r="W517" s="135">
        <v>0.68330991800000007</v>
      </c>
      <c r="X517" s="135">
        <v>1.33067896</v>
      </c>
      <c r="Y517" s="136">
        <v>1.582906731</v>
      </c>
    </row>
    <row r="518" spans="1:25">
      <c r="A518" s="125" t="s">
        <v>52</v>
      </c>
      <c r="B518" t="s">
        <v>75</v>
      </c>
      <c r="C518" s="186" t="s">
        <v>322</v>
      </c>
      <c r="D518" t="s">
        <v>329</v>
      </c>
      <c r="E518" t="s">
        <v>376</v>
      </c>
      <c r="F518" s="134">
        <v>2.7083630900000006</v>
      </c>
      <c r="G518" s="135">
        <v>3.1462558409999999</v>
      </c>
      <c r="H518" s="135">
        <v>3.9113333849999998</v>
      </c>
      <c r="I518" s="135">
        <v>4.4481432239999998</v>
      </c>
      <c r="J518" s="136">
        <v>5.0609349600000009</v>
      </c>
      <c r="K518" s="135">
        <v>3.8049389999999998E-3</v>
      </c>
      <c r="L518" s="135">
        <v>1.1254723440000001</v>
      </c>
      <c r="M518" s="135">
        <v>4.7615174699999994</v>
      </c>
      <c r="N518" s="135">
        <v>7.8011096369999997</v>
      </c>
      <c r="O518" s="135">
        <v>9.0262938810000009</v>
      </c>
      <c r="P518" s="134">
        <v>7.6563399999999995E-4</v>
      </c>
      <c r="Q518" s="135">
        <v>3.1828083E-2</v>
      </c>
      <c r="R518" s="135">
        <v>0.27420883299999993</v>
      </c>
      <c r="S518" s="135">
        <v>0.56008753199999994</v>
      </c>
      <c r="T518" s="136">
        <v>0.79458951600000005</v>
      </c>
      <c r="U518" s="135">
        <v>2.8300438000000001E-2</v>
      </c>
      <c r="V518" s="135">
        <v>0.108872417</v>
      </c>
      <c r="W518" s="135">
        <v>1.251300053</v>
      </c>
      <c r="X518" s="135">
        <v>2.5961215549999999</v>
      </c>
      <c r="Y518" s="136">
        <v>3.077391489</v>
      </c>
    </row>
    <row r="519" spans="1:25">
      <c r="A519" s="125" t="s">
        <v>52</v>
      </c>
      <c r="B519" t="s">
        <v>75</v>
      </c>
      <c r="C519" s="186" t="s">
        <v>322</v>
      </c>
      <c r="D519" t="s">
        <v>331</v>
      </c>
      <c r="E519" t="s">
        <v>376</v>
      </c>
      <c r="F519" s="134">
        <v>1.8554925849999999</v>
      </c>
      <c r="G519" s="135">
        <v>2.237014018</v>
      </c>
      <c r="H519" s="135">
        <v>2.8425292049999999</v>
      </c>
      <c r="I519" s="135">
        <v>3.1175765769999999</v>
      </c>
      <c r="J519" s="136">
        <v>3.3907962239999998</v>
      </c>
      <c r="K519" s="135">
        <v>3.516422E-3</v>
      </c>
      <c r="L519" s="135">
        <v>1.040131304</v>
      </c>
      <c r="M519" s="135">
        <v>4.5976938139999994</v>
      </c>
      <c r="N519" s="135">
        <v>8.006586519999999</v>
      </c>
      <c r="O519" s="135">
        <v>9.5143934170000009</v>
      </c>
      <c r="P519" s="134">
        <v>1.4529740000000001E-3</v>
      </c>
      <c r="Q519" s="135">
        <v>4.7333292999999992E-2</v>
      </c>
      <c r="R519" s="135">
        <v>0.37270745400000005</v>
      </c>
      <c r="S519" s="135">
        <v>0.75567842200000002</v>
      </c>
      <c r="T519" s="136">
        <v>1.0805659169999999</v>
      </c>
      <c r="U519" s="135">
        <v>1.6853070000000001E-2</v>
      </c>
      <c r="V519" s="135">
        <v>0.16769710600000001</v>
      </c>
      <c r="W519" s="135">
        <v>1.1329241940000001</v>
      </c>
      <c r="X519" s="135">
        <v>2.1752193179999999</v>
      </c>
      <c r="Y519" s="136">
        <v>2.66112796</v>
      </c>
    </row>
    <row r="520" spans="1:25">
      <c r="A520" s="125" t="s">
        <v>52</v>
      </c>
      <c r="B520" t="s">
        <v>75</v>
      </c>
      <c r="C520" s="186" t="s">
        <v>322</v>
      </c>
      <c r="D520" t="s">
        <v>333</v>
      </c>
      <c r="E520" t="s">
        <v>376</v>
      </c>
      <c r="F520" s="134">
        <v>1.1788242149999999</v>
      </c>
      <c r="G520" s="135">
        <v>1.5736180980000001</v>
      </c>
      <c r="H520" s="135">
        <v>2.1594407320000002</v>
      </c>
      <c r="I520" s="135">
        <v>2.329280663</v>
      </c>
      <c r="J520" s="136">
        <v>2.4089575600000002</v>
      </c>
      <c r="K520" s="135">
        <v>1.5187309999999999E-3</v>
      </c>
      <c r="L520" s="135">
        <v>0</v>
      </c>
      <c r="M520" s="135">
        <v>2.1530560550000004</v>
      </c>
      <c r="N520" s="135">
        <v>8.7002432150000004</v>
      </c>
      <c r="O520" s="135">
        <v>12.795963998999998</v>
      </c>
      <c r="P520" s="134">
        <v>1.1395709999999998E-3</v>
      </c>
      <c r="Q520" s="135">
        <v>4.4248847000000001E-2</v>
      </c>
      <c r="R520" s="135">
        <v>0.40053990100000003</v>
      </c>
      <c r="S520" s="135">
        <v>0.80222944899999993</v>
      </c>
      <c r="T520" s="136">
        <v>1.149852622</v>
      </c>
      <c r="U520" s="135">
        <v>3.815789E-3</v>
      </c>
      <c r="V520" s="135">
        <v>6.5224673999999996E-2</v>
      </c>
      <c r="W520" s="135">
        <v>0.66402116300000003</v>
      </c>
      <c r="X520" s="135">
        <v>1.2176948919999999</v>
      </c>
      <c r="Y520" s="136">
        <v>1.5855276030000003</v>
      </c>
    </row>
    <row r="521" spans="1:25">
      <c r="A521" s="125" t="s">
        <v>52</v>
      </c>
      <c r="B521" t="s">
        <v>75</v>
      </c>
      <c r="C521" s="186" t="s">
        <v>322</v>
      </c>
      <c r="D521" t="s">
        <v>335</v>
      </c>
      <c r="E521" t="s">
        <v>376</v>
      </c>
      <c r="F521" s="134">
        <v>3.0949724820000002</v>
      </c>
      <c r="G521" s="135">
        <v>5.0874402340000016</v>
      </c>
      <c r="H521" s="135">
        <v>8.9129512880000004</v>
      </c>
      <c r="I521" s="135">
        <v>14.601850809000002</v>
      </c>
      <c r="J521" s="136">
        <v>19.335236752</v>
      </c>
      <c r="K521" s="135">
        <v>7.4955839999999996E-3</v>
      </c>
      <c r="L521" s="135">
        <v>1.1936963119999999</v>
      </c>
      <c r="M521" s="135">
        <v>5.7758349289999993</v>
      </c>
      <c r="N521" s="135">
        <v>11.239853537</v>
      </c>
      <c r="O521" s="135">
        <v>13.943654985999999</v>
      </c>
      <c r="P521" s="134">
        <v>1.0049900000000001E-3</v>
      </c>
      <c r="Q521" s="135">
        <v>4.6827331E-2</v>
      </c>
      <c r="R521" s="135">
        <v>0.42442387799999992</v>
      </c>
      <c r="S521" s="135">
        <v>0.8665802720000001</v>
      </c>
      <c r="T521" s="136">
        <v>1.228287581</v>
      </c>
      <c r="U521" s="135">
        <v>4.1846491E-2</v>
      </c>
      <c r="V521" s="135">
        <v>0.23490164499999999</v>
      </c>
      <c r="W521" s="135">
        <v>2.1283736859999998</v>
      </c>
      <c r="X521" s="135">
        <v>4.2977283220000002</v>
      </c>
      <c r="Y521" s="136">
        <v>5.1604916439999995</v>
      </c>
    </row>
    <row r="522" spans="1:25">
      <c r="A522" s="125" t="s">
        <v>52</v>
      </c>
      <c r="B522" t="s">
        <v>75</v>
      </c>
      <c r="C522" s="186" t="s">
        <v>322</v>
      </c>
      <c r="D522" t="s">
        <v>337</v>
      </c>
      <c r="E522" t="s">
        <v>376</v>
      </c>
      <c r="F522" s="134">
        <v>1.6857113729999997</v>
      </c>
      <c r="G522" s="135">
        <v>2.1481370059999993</v>
      </c>
      <c r="H522" s="135">
        <v>2.934226217</v>
      </c>
      <c r="I522" s="135">
        <v>3.2844727439999999</v>
      </c>
      <c r="J522" s="136">
        <v>3.5966035179999998</v>
      </c>
      <c r="K522" s="135">
        <v>3.4453790000000001E-3</v>
      </c>
      <c r="L522" s="135">
        <v>1.019116766</v>
      </c>
      <c r="M522" s="135">
        <v>4.428078878</v>
      </c>
      <c r="N522" s="135">
        <v>7.5347524420000003</v>
      </c>
      <c r="O522" s="135">
        <v>8.8658091890000001</v>
      </c>
      <c r="P522" s="134">
        <v>2.5047399999999999E-4</v>
      </c>
      <c r="Q522" s="135">
        <v>1.6938139000000001E-2</v>
      </c>
      <c r="R522" s="135">
        <v>0.16360908099999999</v>
      </c>
      <c r="S522" s="135">
        <v>0.33572858299999997</v>
      </c>
      <c r="T522" s="136">
        <v>0.47283280299999997</v>
      </c>
      <c r="U522" s="135">
        <v>2.0859649000000001E-2</v>
      </c>
      <c r="V522" s="135">
        <v>0.17996151599999999</v>
      </c>
      <c r="W522" s="135">
        <v>1.1173416279999999</v>
      </c>
      <c r="X522" s="135">
        <v>2.189384929</v>
      </c>
      <c r="Y522" s="136">
        <v>2.612805534</v>
      </c>
    </row>
    <row r="523" spans="1:25">
      <c r="A523" s="125" t="s">
        <v>52</v>
      </c>
      <c r="B523" t="s">
        <v>75</v>
      </c>
      <c r="C523" s="186" t="s">
        <v>322</v>
      </c>
      <c r="D523" t="s">
        <v>339</v>
      </c>
      <c r="E523" t="s">
        <v>376</v>
      </c>
      <c r="F523" s="134">
        <v>2.5302540069999995</v>
      </c>
      <c r="G523" s="135">
        <v>4.8159329989999993</v>
      </c>
      <c r="H523" s="135">
        <v>8.6860353280000009</v>
      </c>
      <c r="I523" s="135">
        <v>14.723164491999999</v>
      </c>
      <c r="J523" s="136">
        <v>19.620610975000005</v>
      </c>
      <c r="K523" s="135">
        <v>2.8968259999999999E-3</v>
      </c>
      <c r="L523" s="135">
        <v>0.85685919699999991</v>
      </c>
      <c r="M523" s="135">
        <v>3.3316543520000002</v>
      </c>
      <c r="N523" s="135">
        <v>4.7534623470000001</v>
      </c>
      <c r="O523" s="135">
        <v>5.1280186319999999</v>
      </c>
      <c r="P523" s="134">
        <v>1.6977799999999999E-4</v>
      </c>
      <c r="Q523" s="135">
        <v>1.3856889000000001E-2</v>
      </c>
      <c r="R523" s="135">
        <v>0.13774702799999999</v>
      </c>
      <c r="S523" s="135">
        <v>0.28450126199999992</v>
      </c>
      <c r="T523" s="136">
        <v>0.39924246000000002</v>
      </c>
      <c r="U523" s="135">
        <v>9.0307019999999998E-3</v>
      </c>
      <c r="V523" s="135">
        <v>7.6231450000000006E-2</v>
      </c>
      <c r="W523" s="135">
        <v>0.46613224000000003</v>
      </c>
      <c r="X523" s="135">
        <v>0.90954279999999998</v>
      </c>
      <c r="Y523" s="136">
        <v>1.0741609560000001</v>
      </c>
    </row>
    <row r="524" spans="1:25">
      <c r="A524" s="125" t="s">
        <v>52</v>
      </c>
      <c r="B524" t="s">
        <v>75</v>
      </c>
      <c r="C524" s="186" t="s">
        <v>322</v>
      </c>
      <c r="D524" t="s">
        <v>341</v>
      </c>
      <c r="E524" t="s">
        <v>376</v>
      </c>
      <c r="F524" s="134">
        <v>2.5239701879999994</v>
      </c>
      <c r="G524" s="135">
        <v>4.5202154969999997</v>
      </c>
      <c r="H524" s="135">
        <v>8.1639724630000003</v>
      </c>
      <c r="I524" s="135">
        <v>13.53148071</v>
      </c>
      <c r="J524" s="136">
        <v>17.863012852000001</v>
      </c>
      <c r="K524" s="135">
        <v>3.6334780000000003E-3</v>
      </c>
      <c r="L524" s="135">
        <v>0.88212046100000008</v>
      </c>
      <c r="M524" s="135">
        <v>4.1148604629999994</v>
      </c>
      <c r="N524" s="135">
        <v>7.6674465110000014</v>
      </c>
      <c r="O524" s="135">
        <v>9.3606238180000005</v>
      </c>
      <c r="P524" s="134">
        <v>6.4728400000000003E-4</v>
      </c>
      <c r="Q524" s="135">
        <v>2.8593365999999999E-2</v>
      </c>
      <c r="R524" s="135">
        <v>0.25608039600000004</v>
      </c>
      <c r="S524" s="135">
        <v>0.51904407099999994</v>
      </c>
      <c r="T524" s="136">
        <v>0.73734772500000001</v>
      </c>
      <c r="U524" s="135">
        <v>3.0271929999999999E-2</v>
      </c>
      <c r="V524" s="135">
        <v>0.28187356099999999</v>
      </c>
      <c r="W524" s="135">
        <v>1.719199712</v>
      </c>
      <c r="X524" s="135">
        <v>3.3351655319999995</v>
      </c>
      <c r="Y524" s="136">
        <v>3.9979134630000002</v>
      </c>
    </row>
    <row r="525" spans="1:25">
      <c r="A525" s="125" t="s">
        <v>52</v>
      </c>
      <c r="B525" t="s">
        <v>75</v>
      </c>
      <c r="C525" s="186" t="s">
        <v>322</v>
      </c>
      <c r="D525" t="s">
        <v>343</v>
      </c>
      <c r="E525" t="s">
        <v>376</v>
      </c>
      <c r="F525" s="134">
        <v>0.72026761299999997</v>
      </c>
      <c r="G525" s="135">
        <v>0.97228923299999992</v>
      </c>
      <c r="H525" s="135">
        <v>1.3594912610000001</v>
      </c>
      <c r="I525" s="135">
        <v>1.5502128070000001</v>
      </c>
      <c r="J525" s="136">
        <v>1.70179915</v>
      </c>
      <c r="K525" s="135">
        <v>2.4661190000000001E-3</v>
      </c>
      <c r="L525" s="135">
        <v>0.72947348499999998</v>
      </c>
      <c r="M525" s="135">
        <v>2.5688460580000001</v>
      </c>
      <c r="N525" s="135">
        <v>2.9658288530000001</v>
      </c>
      <c r="O525" s="135">
        <v>2.775831261</v>
      </c>
      <c r="P525" s="134">
        <v>2.5689099999999998E-4</v>
      </c>
      <c r="Q525" s="135">
        <v>1.6119036999999999E-2</v>
      </c>
      <c r="R525" s="135">
        <v>0.15014348599999999</v>
      </c>
      <c r="S525" s="135">
        <v>0.30934728499999997</v>
      </c>
      <c r="T525" s="136">
        <v>0.43513359300000004</v>
      </c>
      <c r="U525" s="135">
        <v>7.3135960000000003E-3</v>
      </c>
      <c r="V525" s="135">
        <v>2.7261947000000002E-2</v>
      </c>
      <c r="W525" s="135">
        <v>0.34820156400000002</v>
      </c>
      <c r="X525" s="135">
        <v>0.71774075400000004</v>
      </c>
      <c r="Y525" s="136">
        <v>0.860019321</v>
      </c>
    </row>
  </sheetData>
  <mergeCells count="4">
    <mergeCell ref="F4:J4"/>
    <mergeCell ref="K4:O4"/>
    <mergeCell ref="P4:T4"/>
    <mergeCell ref="U4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093F-B8AC-455B-ABD9-37E99DB6C394}">
  <sheetPr>
    <tabColor theme="9" tint="0.79998168889431442"/>
  </sheetPr>
  <dimension ref="A3:J93"/>
  <sheetViews>
    <sheetView showGridLines="0" workbookViewId="0">
      <selection activeCell="A5" sqref="A5"/>
    </sheetView>
  </sheetViews>
  <sheetFormatPr defaultColWidth="11.42578125" defaultRowHeight="15"/>
  <cols>
    <col min="1" max="1" width="17.28515625" customWidth="1"/>
  </cols>
  <sheetData>
    <row r="3" spans="1:10">
      <c r="A3" s="148" t="s">
        <v>377</v>
      </c>
      <c r="B3" s="148"/>
      <c r="C3" s="148"/>
      <c r="D3" s="148"/>
      <c r="E3" s="148"/>
      <c r="F3" s="148"/>
      <c r="G3" s="148"/>
      <c r="H3" s="148"/>
      <c r="I3" s="148"/>
      <c r="J3" s="148"/>
    </row>
    <row r="4" spans="1:10">
      <c r="C4" s="186"/>
      <c r="D4" s="87"/>
      <c r="E4" s="87"/>
      <c r="F4" s="217" t="s">
        <v>369</v>
      </c>
      <c r="G4" s="218"/>
      <c r="H4" s="218"/>
      <c r="I4" s="218"/>
      <c r="J4" s="219"/>
    </row>
    <row r="5" spans="1:10">
      <c r="A5" s="127" t="s">
        <v>373</v>
      </c>
      <c r="B5" s="127" t="s">
        <v>55</v>
      </c>
      <c r="C5" s="190" t="s">
        <v>137</v>
      </c>
      <c r="D5" s="127" t="s">
        <v>136</v>
      </c>
      <c r="E5" s="127" t="s">
        <v>375</v>
      </c>
      <c r="F5" s="137">
        <v>2030</v>
      </c>
      <c r="G5" s="127">
        <v>2035</v>
      </c>
      <c r="H5" s="127">
        <v>2040</v>
      </c>
      <c r="I5" s="127">
        <v>2045</v>
      </c>
      <c r="J5" s="128">
        <v>2050</v>
      </c>
    </row>
    <row r="6" spans="1:10">
      <c r="A6" s="125" t="s">
        <v>44</v>
      </c>
      <c r="B6" t="s">
        <v>75</v>
      </c>
      <c r="C6" s="186" t="s">
        <v>101</v>
      </c>
      <c r="D6" t="s">
        <v>100</v>
      </c>
      <c r="E6" t="s">
        <v>376</v>
      </c>
      <c r="F6" s="134">
        <v>9.8486999999999994E-5</v>
      </c>
      <c r="G6" s="135">
        <v>1.38407E-4</v>
      </c>
      <c r="H6" s="135">
        <v>2.5386499999999998E-4</v>
      </c>
      <c r="I6" s="135">
        <v>2.5449399999999997E-4</v>
      </c>
      <c r="J6" s="136">
        <v>2.5650699999999995E-4</v>
      </c>
    </row>
    <row r="7" spans="1:10">
      <c r="A7" s="125" t="s">
        <v>44</v>
      </c>
      <c r="B7" t="s">
        <v>75</v>
      </c>
      <c r="C7" s="186" t="s">
        <v>378</v>
      </c>
      <c r="D7" t="s">
        <v>102</v>
      </c>
      <c r="E7" t="s">
        <v>376</v>
      </c>
      <c r="F7" s="134">
        <v>1.9052848769999999</v>
      </c>
      <c r="G7" s="135">
        <v>6.2368329140000007</v>
      </c>
      <c r="H7" s="135">
        <v>19.498975178000002</v>
      </c>
      <c r="I7" s="135">
        <v>30.178195035999998</v>
      </c>
      <c r="J7" s="136">
        <v>31.868408891000001</v>
      </c>
    </row>
    <row r="8" spans="1:10">
      <c r="A8" s="125" t="s">
        <v>44</v>
      </c>
      <c r="B8" t="s">
        <v>75</v>
      </c>
      <c r="C8" s="186" t="s">
        <v>379</v>
      </c>
      <c r="D8" t="s">
        <v>104</v>
      </c>
      <c r="E8" t="s">
        <v>376</v>
      </c>
      <c r="F8" s="134">
        <v>1.45902E-4</v>
      </c>
      <c r="G8" s="135">
        <v>1.13424E-4</v>
      </c>
      <c r="H8" s="135">
        <v>1.29973E-4</v>
      </c>
      <c r="I8" s="135">
        <v>0.10690864</v>
      </c>
      <c r="J8" s="136">
        <v>8.8592758999999993E-2</v>
      </c>
    </row>
    <row r="9" spans="1:10">
      <c r="A9" s="125" t="s">
        <v>44</v>
      </c>
      <c r="B9" t="s">
        <v>75</v>
      </c>
      <c r="C9" s="186" t="s">
        <v>380</v>
      </c>
      <c r="D9" t="s">
        <v>106</v>
      </c>
      <c r="E9" t="s">
        <v>376</v>
      </c>
      <c r="F9" s="134">
        <v>29.661938310999997</v>
      </c>
      <c r="G9" s="135">
        <v>29.002563547000001</v>
      </c>
      <c r="H9" s="135">
        <v>33.495432946000001</v>
      </c>
      <c r="I9" s="135">
        <v>31.671656335000002</v>
      </c>
      <c r="J9" s="136">
        <v>29.481181951</v>
      </c>
    </row>
    <row r="10" spans="1:10">
      <c r="A10" s="125" t="s">
        <v>44</v>
      </c>
      <c r="B10" t="s">
        <v>75</v>
      </c>
      <c r="C10" s="186" t="s">
        <v>109</v>
      </c>
      <c r="D10" t="s">
        <v>108</v>
      </c>
      <c r="E10" t="s">
        <v>376</v>
      </c>
      <c r="F10" s="134">
        <v>9.7039999999999992E-5</v>
      </c>
      <c r="G10" s="135">
        <v>2.8006299999999999E-4</v>
      </c>
      <c r="H10" s="135">
        <v>1.5729928000000001E-2</v>
      </c>
      <c r="I10" s="135">
        <v>1.906080435</v>
      </c>
      <c r="J10" s="136">
        <v>1.8284325050000001</v>
      </c>
    </row>
    <row r="11" spans="1:10">
      <c r="A11" s="125" t="s">
        <v>44</v>
      </c>
      <c r="B11" t="s">
        <v>75</v>
      </c>
      <c r="C11" s="186" t="s">
        <v>111</v>
      </c>
      <c r="D11" t="s">
        <v>110</v>
      </c>
      <c r="E11" t="s">
        <v>376</v>
      </c>
      <c r="F11" s="134">
        <v>8.9030999999999995E-5</v>
      </c>
      <c r="G11" s="135">
        <v>1.24757E-4</v>
      </c>
      <c r="H11" s="135">
        <v>4.8614900000000001E-4</v>
      </c>
      <c r="I11" s="135">
        <v>3.7184379389999997</v>
      </c>
      <c r="J11" s="136">
        <v>3.4051434980000002</v>
      </c>
    </row>
    <row r="12" spans="1:10">
      <c r="A12" s="125" t="s">
        <v>44</v>
      </c>
      <c r="B12" t="s">
        <v>75</v>
      </c>
      <c r="C12" s="186" t="s">
        <v>113</v>
      </c>
      <c r="D12" t="s">
        <v>381</v>
      </c>
      <c r="E12" t="s">
        <v>376</v>
      </c>
      <c r="F12" s="134">
        <v>1.7394947729999999</v>
      </c>
      <c r="G12" s="135">
        <v>3.8067103419999997</v>
      </c>
      <c r="H12" s="135">
        <v>9.1594492949999999</v>
      </c>
      <c r="I12" s="135">
        <v>10.912254014</v>
      </c>
      <c r="J12" s="136">
        <v>9.0661954510000005</v>
      </c>
    </row>
    <row r="13" spans="1:10">
      <c r="A13" s="125" t="s">
        <v>44</v>
      </c>
      <c r="B13" t="s">
        <v>75</v>
      </c>
      <c r="C13" s="186" t="s">
        <v>113</v>
      </c>
      <c r="D13" t="s">
        <v>382</v>
      </c>
      <c r="E13" t="s">
        <v>376</v>
      </c>
      <c r="F13" s="134">
        <v>6.006144666</v>
      </c>
      <c r="G13" s="135">
        <v>5.2541208509999997</v>
      </c>
      <c r="H13" s="135">
        <v>17.945362483</v>
      </c>
      <c r="I13" s="135">
        <v>16.907419586</v>
      </c>
      <c r="J13" s="136">
        <v>14.08088837</v>
      </c>
    </row>
    <row r="14" spans="1:10">
      <c r="A14" s="125" t="s">
        <v>44</v>
      </c>
      <c r="B14" t="s">
        <v>75</v>
      </c>
      <c r="C14" s="186" t="s">
        <v>113</v>
      </c>
      <c r="D14" t="s">
        <v>383</v>
      </c>
      <c r="E14" t="s">
        <v>376</v>
      </c>
      <c r="F14" s="134">
        <v>1.5547424029999999</v>
      </c>
      <c r="G14" s="135">
        <v>2.3699414660000002</v>
      </c>
      <c r="H14" s="135">
        <v>12.616293167</v>
      </c>
      <c r="I14" s="135">
        <v>11.018314401</v>
      </c>
      <c r="J14" s="136">
        <v>9.5803134170000011</v>
      </c>
    </row>
    <row r="15" spans="1:10">
      <c r="A15" s="125" t="s">
        <v>44</v>
      </c>
      <c r="B15" t="s">
        <v>75</v>
      </c>
      <c r="C15" s="186" t="s">
        <v>113</v>
      </c>
      <c r="D15" t="s">
        <v>384</v>
      </c>
      <c r="E15" t="s">
        <v>376</v>
      </c>
      <c r="F15" s="134">
        <v>4.1760205590000004</v>
      </c>
      <c r="G15" s="135">
        <v>17.146292708000001</v>
      </c>
      <c r="H15" s="135">
        <v>28.402482793000001</v>
      </c>
      <c r="I15" s="135">
        <v>25.860330591000004</v>
      </c>
      <c r="J15" s="136">
        <v>25.708453666</v>
      </c>
    </row>
    <row r="16" spans="1:10">
      <c r="A16" s="125" t="s">
        <v>44</v>
      </c>
      <c r="B16" t="s">
        <v>75</v>
      </c>
      <c r="C16" s="186" t="s">
        <v>113</v>
      </c>
      <c r="D16" t="s">
        <v>385</v>
      </c>
      <c r="E16" t="s">
        <v>376</v>
      </c>
      <c r="F16" s="134">
        <v>9.4796600000000006E-4</v>
      </c>
      <c r="G16" s="135">
        <v>4.5958757139999999</v>
      </c>
      <c r="H16" s="135">
        <v>13.634429562000001</v>
      </c>
      <c r="I16" s="135">
        <v>13.817872508999999</v>
      </c>
      <c r="J16" s="136">
        <v>11.953835356000001</v>
      </c>
    </row>
    <row r="17" spans="1:10">
      <c r="A17" s="125" t="s">
        <v>44</v>
      </c>
      <c r="B17" t="s">
        <v>75</v>
      </c>
      <c r="C17" s="186" t="s">
        <v>113</v>
      </c>
      <c r="D17" t="s">
        <v>386</v>
      </c>
      <c r="E17" t="s">
        <v>376</v>
      </c>
      <c r="F17" s="134">
        <v>2.6355500000000001E-4</v>
      </c>
      <c r="G17" s="135">
        <v>0.42373989499999998</v>
      </c>
      <c r="H17" s="135">
        <v>12.954138624999999</v>
      </c>
      <c r="I17" s="135">
        <v>12.227999307000001</v>
      </c>
      <c r="J17" s="136">
        <v>11.011218979999999</v>
      </c>
    </row>
    <row r="18" spans="1:10">
      <c r="A18" s="125" t="s">
        <v>44</v>
      </c>
      <c r="B18" t="s">
        <v>75</v>
      </c>
      <c r="C18" s="186" t="s">
        <v>115</v>
      </c>
      <c r="D18" t="s">
        <v>114</v>
      </c>
      <c r="E18" t="s">
        <v>376</v>
      </c>
      <c r="F18" s="134">
        <v>0.23768160599999999</v>
      </c>
      <c r="G18" s="135">
        <v>0.66077257</v>
      </c>
      <c r="H18" s="135">
        <v>0.74461151999999997</v>
      </c>
      <c r="I18" s="135">
        <v>2.8785552570000004</v>
      </c>
      <c r="J18" s="136">
        <v>2.154080816</v>
      </c>
    </row>
    <row r="19" spans="1:10">
      <c r="A19" s="125" t="s">
        <v>44</v>
      </c>
      <c r="B19" t="s">
        <v>75</v>
      </c>
      <c r="C19" s="186" t="s">
        <v>117</v>
      </c>
      <c r="D19" t="s">
        <v>116</v>
      </c>
      <c r="E19" t="s">
        <v>376</v>
      </c>
      <c r="F19" s="134">
        <v>1.6490700000000003E-4</v>
      </c>
      <c r="G19" s="135">
        <v>7.6494999999999992E-5</v>
      </c>
      <c r="H19" s="135">
        <v>8.8255000000000001E-5</v>
      </c>
      <c r="I19" s="135">
        <v>2.6098799999999998E-4</v>
      </c>
      <c r="J19" s="136">
        <v>1.1785699999999999E-4</v>
      </c>
    </row>
    <row r="20" spans="1:10">
      <c r="A20" s="125" t="s">
        <v>44</v>
      </c>
      <c r="B20" t="s">
        <v>75</v>
      </c>
      <c r="C20" s="186" t="s">
        <v>119</v>
      </c>
      <c r="D20" t="s">
        <v>118</v>
      </c>
      <c r="E20" t="s">
        <v>376</v>
      </c>
      <c r="F20" s="134">
        <v>8.4548000000000004E-5</v>
      </c>
      <c r="G20" s="135">
        <v>7.3906270769999995</v>
      </c>
      <c r="H20" s="135">
        <v>24.516374894999998</v>
      </c>
      <c r="I20" s="135">
        <v>34.963955990000002</v>
      </c>
      <c r="J20" s="136">
        <v>33.141737313999997</v>
      </c>
    </row>
    <row r="21" spans="1:10">
      <c r="A21" s="125" t="s">
        <v>44</v>
      </c>
      <c r="B21" t="s">
        <v>75</v>
      </c>
      <c r="C21" s="186" t="s">
        <v>387</v>
      </c>
      <c r="D21" t="s">
        <v>120</v>
      </c>
      <c r="E21" t="s">
        <v>376</v>
      </c>
      <c r="F21" s="134">
        <v>1.76415E-4</v>
      </c>
      <c r="G21" s="135">
        <v>10.519171439000001</v>
      </c>
      <c r="H21" s="135">
        <v>37.355817337000005</v>
      </c>
      <c r="I21" s="135">
        <v>30.432846741999999</v>
      </c>
      <c r="J21" s="136">
        <v>33.987633600999992</v>
      </c>
    </row>
    <row r="22" spans="1:10">
      <c r="A22" s="125" t="s">
        <v>44</v>
      </c>
      <c r="B22" t="s">
        <v>75</v>
      </c>
      <c r="C22" s="186" t="s">
        <v>123</v>
      </c>
      <c r="D22" t="s">
        <v>122</v>
      </c>
      <c r="E22" t="s">
        <v>376</v>
      </c>
      <c r="F22" s="134">
        <v>1.3552199999999998E-4</v>
      </c>
      <c r="G22" s="135">
        <v>5.3005899109999994</v>
      </c>
      <c r="H22" s="135">
        <v>66.088343410000007</v>
      </c>
      <c r="I22" s="135">
        <v>63.572311864</v>
      </c>
      <c r="J22" s="136">
        <v>41.945354602000002</v>
      </c>
    </row>
    <row r="23" spans="1:10">
      <c r="A23" s="125" t="s">
        <v>44</v>
      </c>
      <c r="B23" t="s">
        <v>75</v>
      </c>
      <c r="C23" s="186" t="s">
        <v>125</v>
      </c>
      <c r="D23" t="s">
        <v>124</v>
      </c>
      <c r="E23" t="s">
        <v>376</v>
      </c>
      <c r="F23" s="134">
        <v>47.515119349000003</v>
      </c>
      <c r="G23" s="135">
        <v>32.538101884999996</v>
      </c>
      <c r="H23" s="135">
        <v>44.877569924999996</v>
      </c>
      <c r="I23" s="135">
        <v>49.781571624999998</v>
      </c>
      <c r="J23" s="136">
        <v>50.283100162999993</v>
      </c>
    </row>
    <row r="24" spans="1:10">
      <c r="A24" s="125" t="s">
        <v>44</v>
      </c>
      <c r="B24" t="s">
        <v>75</v>
      </c>
      <c r="C24" s="186" t="s">
        <v>127</v>
      </c>
      <c r="D24" t="s">
        <v>126</v>
      </c>
      <c r="E24" t="s">
        <v>376</v>
      </c>
      <c r="F24" s="134">
        <v>1.7332899999999998E-4</v>
      </c>
      <c r="G24" s="135">
        <v>1.7322879999999998E-3</v>
      </c>
      <c r="H24" s="135">
        <v>4.2320480999999993E-2</v>
      </c>
      <c r="I24" s="135">
        <v>6.510735799999999E-2</v>
      </c>
      <c r="J24" s="136">
        <v>8.1363912999999996E-2</v>
      </c>
    </row>
    <row r="25" spans="1:10">
      <c r="A25" s="125" t="s">
        <v>44</v>
      </c>
      <c r="B25" t="s">
        <v>75</v>
      </c>
      <c r="C25" s="186" t="s">
        <v>129</v>
      </c>
      <c r="D25" t="s">
        <v>128</v>
      </c>
      <c r="E25" t="s">
        <v>376</v>
      </c>
      <c r="F25" s="134">
        <v>3.2377743240000001</v>
      </c>
      <c r="G25" s="135">
        <v>6.2538570740000008</v>
      </c>
      <c r="H25" s="135">
        <v>14.460725540000002</v>
      </c>
      <c r="I25" s="135">
        <v>38.666532857</v>
      </c>
      <c r="J25" s="136">
        <v>37.273032348000001</v>
      </c>
    </row>
    <row r="26" spans="1:10">
      <c r="A26" s="125" t="s">
        <v>44</v>
      </c>
      <c r="B26" t="s">
        <v>75</v>
      </c>
      <c r="C26" s="186" t="s">
        <v>131</v>
      </c>
      <c r="D26" t="s">
        <v>130</v>
      </c>
      <c r="E26" t="s">
        <v>376</v>
      </c>
      <c r="F26" s="134">
        <v>0.154496297</v>
      </c>
      <c r="G26" s="135">
        <v>7.7592214000000007E-2</v>
      </c>
      <c r="H26" s="135">
        <v>8.9748979000000007E-2</v>
      </c>
      <c r="I26" s="135">
        <v>0.54834393699999995</v>
      </c>
      <c r="J26" s="136">
        <v>0.41567277599999997</v>
      </c>
    </row>
    <row r="27" spans="1:10">
      <c r="A27" s="137" t="s">
        <v>44</v>
      </c>
      <c r="B27" s="138" t="s">
        <v>75</v>
      </c>
      <c r="C27" s="186" t="s">
        <v>388</v>
      </c>
      <c r="D27" s="138" t="s">
        <v>132</v>
      </c>
      <c r="E27" s="138" t="s">
        <v>376</v>
      </c>
      <c r="F27" s="139">
        <v>3.51616879</v>
      </c>
      <c r="G27" s="141">
        <v>13.217527618000002</v>
      </c>
      <c r="H27" s="141">
        <v>29.953010507000002</v>
      </c>
      <c r="I27" s="141">
        <v>47.346472824999999</v>
      </c>
      <c r="J27" s="140">
        <v>43.611468715000001</v>
      </c>
    </row>
    <row r="28" spans="1:10">
      <c r="A28" s="125" t="s">
        <v>46</v>
      </c>
      <c r="B28" t="s">
        <v>75</v>
      </c>
      <c r="C28" s="186" t="s">
        <v>101</v>
      </c>
      <c r="D28" t="s">
        <v>100</v>
      </c>
      <c r="E28" t="s">
        <v>376</v>
      </c>
      <c r="F28" s="134">
        <v>1.34931E-4</v>
      </c>
      <c r="G28" s="135">
        <v>2.56751E-4</v>
      </c>
      <c r="H28" s="135">
        <v>0.27741282099999998</v>
      </c>
      <c r="I28" s="135">
        <v>0.38296978900000006</v>
      </c>
      <c r="J28" s="136">
        <v>0.29744699399999996</v>
      </c>
    </row>
    <row r="29" spans="1:10">
      <c r="A29" s="125" t="s">
        <v>46</v>
      </c>
      <c r="B29" t="s">
        <v>75</v>
      </c>
      <c r="C29" s="186" t="s">
        <v>378</v>
      </c>
      <c r="D29" t="s">
        <v>102</v>
      </c>
      <c r="E29" t="s">
        <v>376</v>
      </c>
      <c r="F29" s="134">
        <v>0.671321273</v>
      </c>
      <c r="G29" s="135">
        <v>4.4032438660000004</v>
      </c>
      <c r="H29" s="135">
        <v>8.5911392200000005</v>
      </c>
      <c r="I29" s="135">
        <v>11.156399202999999</v>
      </c>
      <c r="J29" s="136">
        <v>9.1709716179999994</v>
      </c>
    </row>
    <row r="30" spans="1:10">
      <c r="A30" s="125" t="s">
        <v>46</v>
      </c>
      <c r="B30" t="s">
        <v>75</v>
      </c>
      <c r="C30" s="186" t="s">
        <v>379</v>
      </c>
      <c r="D30" t="s">
        <v>104</v>
      </c>
      <c r="E30" t="s">
        <v>376</v>
      </c>
      <c r="F30" s="134">
        <v>2.1354600000000003E-4</v>
      </c>
      <c r="G30" s="135">
        <v>1.90158E-4</v>
      </c>
      <c r="H30" s="135">
        <v>2.0359300000000001E-4</v>
      </c>
      <c r="I30" s="135">
        <v>0.28266699000000006</v>
      </c>
      <c r="J30" s="136">
        <v>3.6369199999999999E-4</v>
      </c>
    </row>
    <row r="31" spans="1:10">
      <c r="A31" s="125" t="s">
        <v>46</v>
      </c>
      <c r="B31" t="s">
        <v>75</v>
      </c>
      <c r="C31" s="186" t="s">
        <v>380</v>
      </c>
      <c r="D31" t="s">
        <v>106</v>
      </c>
      <c r="E31" t="s">
        <v>376</v>
      </c>
      <c r="F31" s="134">
        <v>21.850378581000001</v>
      </c>
      <c r="G31" s="135">
        <v>14.205253411000001</v>
      </c>
      <c r="H31" s="135">
        <v>16.661862232999997</v>
      </c>
      <c r="I31" s="135">
        <v>12.742589007000001</v>
      </c>
      <c r="J31" s="136">
        <v>10.382696315999999</v>
      </c>
    </row>
    <row r="32" spans="1:10">
      <c r="A32" s="125" t="s">
        <v>46</v>
      </c>
      <c r="B32" t="s">
        <v>75</v>
      </c>
      <c r="C32" s="186" t="s">
        <v>109</v>
      </c>
      <c r="D32" t="s">
        <v>108</v>
      </c>
      <c r="E32" t="s">
        <v>376</v>
      </c>
      <c r="F32" s="134">
        <v>1.32626E-4</v>
      </c>
      <c r="G32" s="135">
        <v>7.6052699999999999E-4</v>
      </c>
      <c r="H32" s="135">
        <v>8.2688400000000006E-4</v>
      </c>
      <c r="I32" s="135">
        <v>7.9352922000000006E-2</v>
      </c>
      <c r="J32" s="136">
        <v>8.7260919999999995E-3</v>
      </c>
    </row>
    <row r="33" spans="1:10">
      <c r="A33" s="125" t="s">
        <v>46</v>
      </c>
      <c r="B33" t="s">
        <v>75</v>
      </c>
      <c r="C33" s="186" t="s">
        <v>111</v>
      </c>
      <c r="D33" t="s">
        <v>110</v>
      </c>
      <c r="E33" t="s">
        <v>376</v>
      </c>
      <c r="F33" s="134">
        <v>1.2302800000000002E-4</v>
      </c>
      <c r="G33" s="135">
        <v>1.67369E-4</v>
      </c>
      <c r="H33" s="135">
        <v>7.9658600000000006E-4</v>
      </c>
      <c r="I33" s="135">
        <v>5.2951240199999994</v>
      </c>
      <c r="J33" s="136">
        <v>4.362388288</v>
      </c>
    </row>
    <row r="34" spans="1:10">
      <c r="A34" s="125" t="s">
        <v>46</v>
      </c>
      <c r="B34" t="s">
        <v>75</v>
      </c>
      <c r="C34" s="186" t="s">
        <v>113</v>
      </c>
      <c r="D34" t="s">
        <v>381</v>
      </c>
      <c r="E34" t="s">
        <v>376</v>
      </c>
      <c r="F34" s="134">
        <v>0.50413651900000001</v>
      </c>
      <c r="G34" s="135">
        <v>2.218204632</v>
      </c>
      <c r="H34" s="135">
        <v>3.3121899450000001</v>
      </c>
      <c r="I34" s="135">
        <v>4.3164780110000001</v>
      </c>
      <c r="J34" s="136">
        <v>2.3421599120000001</v>
      </c>
    </row>
    <row r="35" spans="1:10">
      <c r="A35" s="125" t="s">
        <v>46</v>
      </c>
      <c r="B35" t="s">
        <v>75</v>
      </c>
      <c r="C35" s="186" t="s">
        <v>113</v>
      </c>
      <c r="D35" t="s">
        <v>382</v>
      </c>
      <c r="E35" t="s">
        <v>376</v>
      </c>
      <c r="F35" s="134">
        <v>3.7507385769999999</v>
      </c>
      <c r="G35" s="135">
        <v>2.144072371</v>
      </c>
      <c r="H35" s="135">
        <v>9.1352462869999993</v>
      </c>
      <c r="I35" s="135">
        <v>8.6074400040000008</v>
      </c>
      <c r="J35" s="136">
        <v>5.6658517530000001</v>
      </c>
    </row>
    <row r="36" spans="1:10">
      <c r="A36" s="125" t="s">
        <v>46</v>
      </c>
      <c r="B36" t="s">
        <v>75</v>
      </c>
      <c r="C36" s="186" t="s">
        <v>113</v>
      </c>
      <c r="D36" t="s">
        <v>383</v>
      </c>
      <c r="E36" t="s">
        <v>376</v>
      </c>
      <c r="F36" s="134">
        <v>1.0638474179999999</v>
      </c>
      <c r="G36" s="135">
        <v>0.51468396999999988</v>
      </c>
      <c r="H36" s="135">
        <v>6.5046265720000003</v>
      </c>
      <c r="I36" s="135">
        <v>4.6581404059999993</v>
      </c>
      <c r="J36" s="136">
        <v>3.7504655790000001</v>
      </c>
    </row>
    <row r="37" spans="1:10">
      <c r="A37" s="125" t="s">
        <v>46</v>
      </c>
      <c r="B37" t="s">
        <v>75</v>
      </c>
      <c r="C37" s="186" t="s">
        <v>113</v>
      </c>
      <c r="D37" t="s">
        <v>384</v>
      </c>
      <c r="E37" t="s">
        <v>376</v>
      </c>
      <c r="F37" s="134">
        <v>5.4898553899999998</v>
      </c>
      <c r="G37" s="135">
        <v>9.2425817099999996</v>
      </c>
      <c r="H37" s="135">
        <v>19.355944001999998</v>
      </c>
      <c r="I37" s="135">
        <v>18.29644094</v>
      </c>
      <c r="J37" s="136">
        <v>12.776096533</v>
      </c>
    </row>
    <row r="38" spans="1:10">
      <c r="A38" s="125" t="s">
        <v>46</v>
      </c>
      <c r="B38" t="s">
        <v>75</v>
      </c>
      <c r="C38" s="186" t="s">
        <v>113</v>
      </c>
      <c r="D38" t="s">
        <v>385</v>
      </c>
      <c r="E38" t="s">
        <v>376</v>
      </c>
      <c r="F38" s="134">
        <v>9.3638100000000002E-4</v>
      </c>
      <c r="G38" s="135">
        <v>3.726289789</v>
      </c>
      <c r="H38" s="135">
        <v>8.736593482</v>
      </c>
      <c r="I38" s="135">
        <v>10.154542633000002</v>
      </c>
      <c r="J38" s="136">
        <v>6.613668627</v>
      </c>
    </row>
    <row r="39" spans="1:10">
      <c r="A39" s="125" t="s">
        <v>46</v>
      </c>
      <c r="B39" t="s">
        <v>75</v>
      </c>
      <c r="C39" s="186" t="s">
        <v>113</v>
      </c>
      <c r="D39" t="s">
        <v>386</v>
      </c>
      <c r="E39" t="s">
        <v>376</v>
      </c>
      <c r="F39" s="134">
        <v>3.1075100000000006E-4</v>
      </c>
      <c r="G39" s="135">
        <v>2.5215265100000002</v>
      </c>
      <c r="H39" s="135">
        <v>10.508976105</v>
      </c>
      <c r="I39" s="135">
        <v>9.8272796319999998</v>
      </c>
      <c r="J39" s="136">
        <v>7.5849133040000005</v>
      </c>
    </row>
    <row r="40" spans="1:10">
      <c r="A40" s="125" t="s">
        <v>46</v>
      </c>
      <c r="B40" t="s">
        <v>75</v>
      </c>
      <c r="C40" s="186" t="s">
        <v>115</v>
      </c>
      <c r="D40" t="s">
        <v>114</v>
      </c>
      <c r="E40" t="s">
        <v>376</v>
      </c>
      <c r="F40" s="134">
        <v>0.31097185799999999</v>
      </c>
      <c r="G40" s="135">
        <v>0.51684696900000004</v>
      </c>
      <c r="H40" s="135">
        <v>0.47753480300000001</v>
      </c>
      <c r="I40" s="135">
        <v>1.448820029</v>
      </c>
      <c r="J40" s="136">
        <v>0.62419232899999999</v>
      </c>
    </row>
    <row r="41" spans="1:10">
      <c r="A41" s="125" t="s">
        <v>46</v>
      </c>
      <c r="B41" t="s">
        <v>75</v>
      </c>
      <c r="C41" s="186" t="s">
        <v>117</v>
      </c>
      <c r="D41" t="s">
        <v>116</v>
      </c>
      <c r="E41" t="s">
        <v>376</v>
      </c>
      <c r="F41" s="134">
        <v>1.4793599999999999E-4</v>
      </c>
      <c r="G41" s="135">
        <v>1.10214E-4</v>
      </c>
      <c r="H41" s="135">
        <v>9.3132000000000002E-5</v>
      </c>
      <c r="I41" s="135">
        <v>2.8751100000000001E-4</v>
      </c>
      <c r="J41" s="136">
        <v>1.0093E-4</v>
      </c>
    </row>
    <row r="42" spans="1:10">
      <c r="A42" s="125" t="s">
        <v>46</v>
      </c>
      <c r="B42" t="s">
        <v>75</v>
      </c>
      <c r="C42" s="186" t="s">
        <v>119</v>
      </c>
      <c r="D42" t="s">
        <v>118</v>
      </c>
      <c r="E42" t="s">
        <v>376</v>
      </c>
      <c r="F42" s="134">
        <v>1.0629500000000001E-4</v>
      </c>
      <c r="G42" s="135">
        <v>10.113739739</v>
      </c>
      <c r="H42" s="135">
        <v>13.105067420999999</v>
      </c>
      <c r="I42" s="135">
        <v>16.876199889999999</v>
      </c>
      <c r="J42" s="136">
        <v>0.62419232899999999</v>
      </c>
    </row>
    <row r="43" spans="1:10">
      <c r="A43" s="125" t="s">
        <v>46</v>
      </c>
      <c r="B43" t="s">
        <v>75</v>
      </c>
      <c r="C43" s="186" t="s">
        <v>387</v>
      </c>
      <c r="D43" t="s">
        <v>120</v>
      </c>
      <c r="E43" t="s">
        <v>376</v>
      </c>
      <c r="F43" s="134">
        <v>1.60929E-4</v>
      </c>
      <c r="G43" s="135">
        <v>2.3974759189999997</v>
      </c>
      <c r="H43" s="135">
        <v>19.732803419</v>
      </c>
      <c r="I43" s="135">
        <v>18.193411625</v>
      </c>
      <c r="J43" s="136">
        <v>13.144304126</v>
      </c>
    </row>
    <row r="44" spans="1:10">
      <c r="A44" s="125" t="s">
        <v>46</v>
      </c>
      <c r="B44" t="s">
        <v>75</v>
      </c>
      <c r="C44" s="186" t="s">
        <v>123</v>
      </c>
      <c r="D44" t="s">
        <v>122</v>
      </c>
      <c r="E44" t="s">
        <v>376</v>
      </c>
      <c r="F44" s="134">
        <v>1.6928599999999999E-4</v>
      </c>
      <c r="G44" s="135">
        <v>3.223552594</v>
      </c>
      <c r="H44" s="135">
        <v>70.129648234999991</v>
      </c>
      <c r="I44" s="135">
        <v>70.389117098</v>
      </c>
      <c r="J44" s="136">
        <v>47.130868305999996</v>
      </c>
    </row>
    <row r="45" spans="1:10">
      <c r="A45" s="125" t="s">
        <v>46</v>
      </c>
      <c r="B45" t="s">
        <v>75</v>
      </c>
      <c r="C45" s="186" t="s">
        <v>125</v>
      </c>
      <c r="D45" t="s">
        <v>124</v>
      </c>
      <c r="E45" t="s">
        <v>376</v>
      </c>
      <c r="F45" s="134">
        <v>42.430312691000005</v>
      </c>
      <c r="G45" s="135">
        <v>23.407055095999997</v>
      </c>
      <c r="H45" s="135">
        <v>30.423841204999999</v>
      </c>
      <c r="I45" s="135">
        <v>27.257390954999998</v>
      </c>
      <c r="J45" s="136">
        <v>23.5970403</v>
      </c>
    </row>
    <row r="46" spans="1:10">
      <c r="A46" s="125" t="s">
        <v>46</v>
      </c>
      <c r="B46" t="s">
        <v>75</v>
      </c>
      <c r="C46" s="186" t="s">
        <v>127</v>
      </c>
      <c r="D46" t="s">
        <v>126</v>
      </c>
      <c r="E46" t="s">
        <v>376</v>
      </c>
      <c r="F46" s="134">
        <v>7.450700000000001E-5</v>
      </c>
      <c r="G46" s="135">
        <v>6.9686999999999999E-5</v>
      </c>
      <c r="H46" s="135">
        <v>2.7674250000000001E-2</v>
      </c>
      <c r="I46" s="135">
        <v>1.7595816E-2</v>
      </c>
      <c r="J46" s="136">
        <v>1.1527799999999999E-4</v>
      </c>
    </row>
    <row r="47" spans="1:10">
      <c r="A47" s="125" t="s">
        <v>46</v>
      </c>
      <c r="B47" t="s">
        <v>75</v>
      </c>
      <c r="C47" s="186" t="s">
        <v>129</v>
      </c>
      <c r="D47" t="s">
        <v>128</v>
      </c>
      <c r="E47" t="s">
        <v>376</v>
      </c>
      <c r="F47" s="134">
        <v>1.571995362</v>
      </c>
      <c r="G47" s="135">
        <v>3.2371013840000002</v>
      </c>
      <c r="H47" s="135">
        <v>5.4243175409999997</v>
      </c>
      <c r="I47" s="135">
        <v>16.656717504</v>
      </c>
      <c r="J47" s="136">
        <v>11.099026584999999</v>
      </c>
    </row>
    <row r="48" spans="1:10">
      <c r="A48" s="125" t="s">
        <v>46</v>
      </c>
      <c r="B48" t="s">
        <v>75</v>
      </c>
      <c r="C48" s="186" t="s">
        <v>131</v>
      </c>
      <c r="D48" t="s">
        <v>130</v>
      </c>
      <c r="E48" t="s">
        <v>376</v>
      </c>
      <c r="F48" s="134">
        <v>3.4755064000000002E-2</v>
      </c>
      <c r="G48" s="135">
        <v>2.6935371E-2</v>
      </c>
      <c r="H48" s="135">
        <v>2.1871591999999999E-2</v>
      </c>
      <c r="I48" s="135">
        <v>0.12879743700000001</v>
      </c>
      <c r="J48" s="136">
        <v>1.0658200000000002E-4</v>
      </c>
    </row>
    <row r="49" spans="1:10">
      <c r="A49" s="137" t="s">
        <v>46</v>
      </c>
      <c r="B49" s="138" t="s">
        <v>75</v>
      </c>
      <c r="C49" s="186" t="s">
        <v>388</v>
      </c>
      <c r="D49" s="138" t="s">
        <v>132</v>
      </c>
      <c r="E49" s="138" t="s">
        <v>376</v>
      </c>
      <c r="F49" s="139">
        <v>1.4956175110000001</v>
      </c>
      <c r="G49" s="141">
        <v>6.5919989210000001</v>
      </c>
      <c r="H49" s="141">
        <v>17.537093956</v>
      </c>
      <c r="I49" s="141">
        <v>25.106258834999998</v>
      </c>
      <c r="J49" s="140">
        <v>11.629628113999999</v>
      </c>
    </row>
    <row r="50" spans="1:10">
      <c r="A50" s="125" t="s">
        <v>50</v>
      </c>
      <c r="B50" t="s">
        <v>75</v>
      </c>
      <c r="C50" s="186" t="s">
        <v>101</v>
      </c>
      <c r="D50" t="s">
        <v>100</v>
      </c>
      <c r="E50" t="s">
        <v>376</v>
      </c>
      <c r="F50" s="134">
        <v>8.7496999999999993E-5</v>
      </c>
      <c r="G50" s="135">
        <v>1.3736E-4</v>
      </c>
      <c r="H50" s="135">
        <v>2.6406299999999998E-4</v>
      </c>
      <c r="I50" s="135">
        <v>4.3275600000000002E-4</v>
      </c>
      <c r="J50" s="136">
        <v>2.74741E-4</v>
      </c>
    </row>
    <row r="51" spans="1:10">
      <c r="A51" s="125" t="s">
        <v>50</v>
      </c>
      <c r="B51" t="s">
        <v>75</v>
      </c>
      <c r="C51" s="186" t="s">
        <v>378</v>
      </c>
      <c r="D51" t="s">
        <v>102</v>
      </c>
      <c r="E51" t="s">
        <v>376</v>
      </c>
      <c r="F51" s="134">
        <v>0.27836686799999999</v>
      </c>
      <c r="G51" s="135">
        <v>2.2453746570000002</v>
      </c>
      <c r="H51" s="135">
        <v>3.5262030279999999</v>
      </c>
      <c r="I51" s="135">
        <v>5.0882781210000001</v>
      </c>
      <c r="J51" s="136">
        <v>3.7481695770000001</v>
      </c>
    </row>
    <row r="52" spans="1:10">
      <c r="A52" s="125" t="s">
        <v>50</v>
      </c>
      <c r="B52" t="s">
        <v>75</v>
      </c>
      <c r="C52" s="186" t="s">
        <v>379</v>
      </c>
      <c r="D52" t="s">
        <v>104</v>
      </c>
      <c r="E52" t="s">
        <v>376</v>
      </c>
      <c r="F52" s="134">
        <v>1.43017E-4</v>
      </c>
      <c r="G52" s="135">
        <v>1.1492800000000001E-4</v>
      </c>
      <c r="H52" s="135">
        <v>1.11752E-4</v>
      </c>
      <c r="I52" s="135">
        <v>0.12995015599999996</v>
      </c>
      <c r="J52" s="136">
        <v>2.7983400000000002E-4</v>
      </c>
    </row>
    <row r="53" spans="1:10">
      <c r="A53" s="125" t="s">
        <v>50</v>
      </c>
      <c r="B53" t="s">
        <v>75</v>
      </c>
      <c r="C53" s="186" t="s">
        <v>380</v>
      </c>
      <c r="D53" t="s">
        <v>106</v>
      </c>
      <c r="E53" t="s">
        <v>376</v>
      </c>
      <c r="F53" s="134">
        <v>11.224875892</v>
      </c>
      <c r="G53" s="135">
        <v>9.783698631</v>
      </c>
      <c r="H53" s="135">
        <v>11.192933804000001</v>
      </c>
      <c r="I53" s="135">
        <v>10.250246268000001</v>
      </c>
      <c r="J53" s="136">
        <v>7.048676951</v>
      </c>
    </row>
    <row r="54" spans="1:10">
      <c r="A54" s="125" t="s">
        <v>50</v>
      </c>
      <c r="B54" t="s">
        <v>75</v>
      </c>
      <c r="C54" s="186" t="s">
        <v>109</v>
      </c>
      <c r="D54" t="s">
        <v>108</v>
      </c>
      <c r="E54" t="s">
        <v>376</v>
      </c>
      <c r="F54" s="134">
        <v>8.0979000000000012E-5</v>
      </c>
      <c r="G54" s="135">
        <v>3.00053E-4</v>
      </c>
      <c r="H54" s="135">
        <v>3.0528100000000002E-4</v>
      </c>
      <c r="I54" s="135">
        <v>3.80336E-4</v>
      </c>
      <c r="J54" s="136">
        <v>1.7815599999999998E-4</v>
      </c>
    </row>
    <row r="55" spans="1:10">
      <c r="A55" s="125" t="s">
        <v>50</v>
      </c>
      <c r="B55" t="s">
        <v>75</v>
      </c>
      <c r="C55" s="186" t="s">
        <v>111</v>
      </c>
      <c r="D55" t="s">
        <v>110</v>
      </c>
      <c r="E55" t="s">
        <v>376</v>
      </c>
      <c r="F55" s="134">
        <v>9.3764000000000006E-5</v>
      </c>
      <c r="G55" s="135">
        <v>1.2037899999999999E-4</v>
      </c>
      <c r="H55" s="135">
        <v>1.79099E-4</v>
      </c>
      <c r="I55" s="135">
        <v>2.8640136030000001</v>
      </c>
      <c r="J55" s="136">
        <v>1.6679031600000001</v>
      </c>
    </row>
    <row r="56" spans="1:10">
      <c r="A56" s="125" t="s">
        <v>50</v>
      </c>
      <c r="B56" t="s">
        <v>75</v>
      </c>
      <c r="C56" s="186" t="s">
        <v>113</v>
      </c>
      <c r="D56" t="s">
        <v>381</v>
      </c>
      <c r="E56" t="s">
        <v>376</v>
      </c>
      <c r="F56" s="134">
        <v>0.62965691299999993</v>
      </c>
      <c r="G56" s="135">
        <v>1.466159223</v>
      </c>
      <c r="H56" s="135">
        <v>2.073320662</v>
      </c>
      <c r="I56" s="135">
        <v>1.895447579</v>
      </c>
      <c r="J56" s="136">
        <v>0.65258435800000003</v>
      </c>
    </row>
    <row r="57" spans="1:10">
      <c r="A57" s="125" t="s">
        <v>50</v>
      </c>
      <c r="B57" t="s">
        <v>75</v>
      </c>
      <c r="C57" s="186" t="s">
        <v>113</v>
      </c>
      <c r="D57" t="s">
        <v>382</v>
      </c>
      <c r="E57" t="s">
        <v>376</v>
      </c>
      <c r="F57" s="134">
        <v>0.737134548</v>
      </c>
      <c r="G57" s="135">
        <v>1.161344379</v>
      </c>
      <c r="H57" s="135">
        <v>1.9935480170000002</v>
      </c>
      <c r="I57" s="135">
        <v>1.789898703</v>
      </c>
      <c r="J57" s="136">
        <v>0.51142593599999997</v>
      </c>
    </row>
    <row r="58" spans="1:10">
      <c r="A58" s="125" t="s">
        <v>50</v>
      </c>
      <c r="B58" t="s">
        <v>75</v>
      </c>
      <c r="C58" s="186" t="s">
        <v>113</v>
      </c>
      <c r="D58" t="s">
        <v>383</v>
      </c>
      <c r="E58" t="s">
        <v>376</v>
      </c>
      <c r="F58" s="134">
        <v>0.44790091399999998</v>
      </c>
      <c r="G58" s="135">
        <v>0.51132318399999999</v>
      </c>
      <c r="H58" s="135">
        <v>1.7445412759999999</v>
      </c>
      <c r="I58" s="135">
        <v>1.040765723</v>
      </c>
      <c r="J58" s="136">
        <v>0.39858354700000004</v>
      </c>
    </row>
    <row r="59" spans="1:10">
      <c r="A59" s="125" t="s">
        <v>50</v>
      </c>
      <c r="B59" t="s">
        <v>75</v>
      </c>
      <c r="C59" s="186" t="s">
        <v>113</v>
      </c>
      <c r="D59" t="s">
        <v>384</v>
      </c>
      <c r="E59" t="s">
        <v>376</v>
      </c>
      <c r="F59" s="134">
        <v>1.4099073710000001</v>
      </c>
      <c r="G59" s="135">
        <v>7.0327370869999992</v>
      </c>
      <c r="H59" s="135">
        <v>10.106010734</v>
      </c>
      <c r="I59" s="135">
        <v>8.6192283639999996</v>
      </c>
      <c r="J59" s="136">
        <v>4.7131311339999993</v>
      </c>
    </row>
    <row r="60" spans="1:10">
      <c r="A60" s="125" t="s">
        <v>50</v>
      </c>
      <c r="B60" t="s">
        <v>75</v>
      </c>
      <c r="C60" s="186" t="s">
        <v>113</v>
      </c>
      <c r="D60" t="s">
        <v>385</v>
      </c>
      <c r="E60" t="s">
        <v>376</v>
      </c>
      <c r="F60" s="134">
        <v>5.0062700000000002E-4</v>
      </c>
      <c r="G60" s="135">
        <v>2.3958114509999997</v>
      </c>
      <c r="H60" s="135">
        <v>6.1931871830000009</v>
      </c>
      <c r="I60" s="135">
        <v>6.7956784080000006</v>
      </c>
      <c r="J60" s="136">
        <v>3.3307020659999997</v>
      </c>
    </row>
    <row r="61" spans="1:10">
      <c r="A61" s="125" t="s">
        <v>50</v>
      </c>
      <c r="B61" t="s">
        <v>75</v>
      </c>
      <c r="C61" s="186" t="s">
        <v>113</v>
      </c>
      <c r="D61" t="s">
        <v>386</v>
      </c>
      <c r="E61" t="s">
        <v>376</v>
      </c>
      <c r="F61" s="134">
        <v>2.93357E-4</v>
      </c>
      <c r="G61" s="135">
        <v>5.9979926489999995</v>
      </c>
      <c r="H61" s="135">
        <v>8.7630418510000005</v>
      </c>
      <c r="I61" s="135">
        <v>7.94506275</v>
      </c>
      <c r="J61" s="136">
        <v>5.069556487999999</v>
      </c>
    </row>
    <row r="62" spans="1:10">
      <c r="A62" s="125" t="s">
        <v>50</v>
      </c>
      <c r="B62" t="s">
        <v>75</v>
      </c>
      <c r="C62" s="186" t="s">
        <v>115</v>
      </c>
      <c r="D62" t="s">
        <v>114</v>
      </c>
      <c r="E62" t="s">
        <v>376</v>
      </c>
      <c r="F62" s="134">
        <v>0.170144657</v>
      </c>
      <c r="G62" s="135">
        <v>0.30923627100000001</v>
      </c>
      <c r="H62" s="135">
        <v>0.28627224600000001</v>
      </c>
      <c r="I62" s="135">
        <v>0.383891327</v>
      </c>
      <c r="J62" s="136">
        <v>0.119334339</v>
      </c>
    </row>
    <row r="63" spans="1:10">
      <c r="A63" s="125" t="s">
        <v>50</v>
      </c>
      <c r="B63" t="s">
        <v>75</v>
      </c>
      <c r="C63" s="186" t="s">
        <v>117</v>
      </c>
      <c r="D63" t="s">
        <v>116</v>
      </c>
      <c r="E63" t="s">
        <v>376</v>
      </c>
      <c r="F63" s="134">
        <v>1.62356E-4</v>
      </c>
      <c r="G63" s="135">
        <v>6.2601000000000006E-5</v>
      </c>
      <c r="H63" s="135">
        <v>6.6439000000000005E-5</v>
      </c>
      <c r="I63" s="135">
        <v>6.5907000000000004E-5</v>
      </c>
      <c r="J63" s="136">
        <v>6.8503000000000005E-5</v>
      </c>
    </row>
    <row r="64" spans="1:10">
      <c r="A64" s="125" t="s">
        <v>50</v>
      </c>
      <c r="B64" t="s">
        <v>75</v>
      </c>
      <c r="C64" s="186" t="s">
        <v>119</v>
      </c>
      <c r="D64" t="s">
        <v>118</v>
      </c>
      <c r="E64" t="s">
        <v>376</v>
      </c>
      <c r="F64" s="134">
        <v>8.0576999999999998E-5</v>
      </c>
      <c r="G64" s="135">
        <v>3.224906373</v>
      </c>
      <c r="H64" s="135">
        <v>3.2909009730000003</v>
      </c>
      <c r="I64" s="135">
        <v>4.5519270389999997</v>
      </c>
      <c r="J64" s="136">
        <v>1.6425310310000001</v>
      </c>
    </row>
    <row r="65" spans="1:10">
      <c r="A65" s="125" t="s">
        <v>50</v>
      </c>
      <c r="B65" t="s">
        <v>75</v>
      </c>
      <c r="C65" s="186" t="s">
        <v>387</v>
      </c>
      <c r="D65" t="s">
        <v>120</v>
      </c>
      <c r="E65" t="s">
        <v>376</v>
      </c>
      <c r="F65" s="134">
        <v>7.2246999999999988E-5</v>
      </c>
      <c r="G65" s="135">
        <v>0.49572737</v>
      </c>
      <c r="H65" s="135">
        <v>7.1302575319999999</v>
      </c>
      <c r="I65" s="135">
        <v>7.0873331579999999</v>
      </c>
      <c r="J65" s="136">
        <v>3.8875178869999996</v>
      </c>
    </row>
    <row r="66" spans="1:10">
      <c r="A66" s="125" t="s">
        <v>50</v>
      </c>
      <c r="B66" t="s">
        <v>75</v>
      </c>
      <c r="C66" s="186" t="s">
        <v>123</v>
      </c>
      <c r="D66" t="s">
        <v>122</v>
      </c>
      <c r="E66" t="s">
        <v>376</v>
      </c>
      <c r="F66" s="134">
        <v>9.2058999999999994E-5</v>
      </c>
      <c r="G66" s="135">
        <v>6.7639200000000005E-4</v>
      </c>
      <c r="H66" s="135">
        <v>52.776575715</v>
      </c>
      <c r="I66" s="135">
        <v>48.545723019999997</v>
      </c>
      <c r="J66" s="136">
        <v>30.911759498000002</v>
      </c>
    </row>
    <row r="67" spans="1:10">
      <c r="A67" s="125" t="s">
        <v>50</v>
      </c>
      <c r="B67" t="s">
        <v>75</v>
      </c>
      <c r="C67" s="186" t="s">
        <v>125</v>
      </c>
      <c r="D67" t="s">
        <v>124</v>
      </c>
      <c r="E67" t="s">
        <v>376</v>
      </c>
      <c r="F67" s="134">
        <v>15.053808516</v>
      </c>
      <c r="G67" s="135">
        <v>10.855457085000001</v>
      </c>
      <c r="H67" s="135">
        <v>16.562839434000001</v>
      </c>
      <c r="I67" s="135">
        <v>15.767323219</v>
      </c>
      <c r="J67" s="136">
        <v>10.917698377000001</v>
      </c>
    </row>
    <row r="68" spans="1:10">
      <c r="A68" s="125" t="s">
        <v>50</v>
      </c>
      <c r="B68" t="s">
        <v>75</v>
      </c>
      <c r="C68" s="186" t="s">
        <v>127</v>
      </c>
      <c r="D68" t="s">
        <v>126</v>
      </c>
      <c r="E68" t="s">
        <v>376</v>
      </c>
      <c r="F68" s="134">
        <v>6.2329999999999994E-5</v>
      </c>
      <c r="G68" s="135">
        <v>5.6465000000000002E-5</v>
      </c>
      <c r="H68" s="135">
        <v>5.2752570000000011E-3</v>
      </c>
      <c r="I68" s="135">
        <v>7.2900999999999999E-5</v>
      </c>
      <c r="J68" s="136">
        <v>7.4588999999999987E-5</v>
      </c>
    </row>
    <row r="69" spans="1:10">
      <c r="A69" s="125" t="s">
        <v>50</v>
      </c>
      <c r="B69" t="s">
        <v>75</v>
      </c>
      <c r="C69" s="186" t="s">
        <v>129</v>
      </c>
      <c r="D69" t="s">
        <v>128</v>
      </c>
      <c r="E69" t="s">
        <v>376</v>
      </c>
      <c r="F69" s="134">
        <v>0.42567305499999997</v>
      </c>
      <c r="G69" s="135">
        <v>0.78127718400000001</v>
      </c>
      <c r="H69" s="135">
        <v>0.87390252800000001</v>
      </c>
      <c r="I69" s="135">
        <v>6.4712721339999995</v>
      </c>
      <c r="J69" s="136">
        <v>2.6116990529999997</v>
      </c>
    </row>
    <row r="70" spans="1:10">
      <c r="A70" s="125" t="s">
        <v>50</v>
      </c>
      <c r="B70" t="s">
        <v>75</v>
      </c>
      <c r="C70" s="186" t="s">
        <v>131</v>
      </c>
      <c r="D70" t="s">
        <v>130</v>
      </c>
      <c r="E70" t="s">
        <v>376</v>
      </c>
      <c r="F70" s="134">
        <v>5.1876211999999998E-2</v>
      </c>
      <c r="G70" s="135">
        <v>2.3907734999999999E-2</v>
      </c>
      <c r="H70" s="135">
        <v>1.5248382E-2</v>
      </c>
      <c r="I70" s="135">
        <v>8.1412371999999997E-2</v>
      </c>
      <c r="J70" s="136">
        <v>7.4140999999999994E-5</v>
      </c>
    </row>
    <row r="71" spans="1:10">
      <c r="A71" s="125" t="s">
        <v>50</v>
      </c>
      <c r="B71" t="s">
        <v>75</v>
      </c>
      <c r="C71" s="186" t="s">
        <v>388</v>
      </c>
      <c r="D71" t="s">
        <v>132</v>
      </c>
      <c r="E71" t="s">
        <v>376</v>
      </c>
      <c r="F71" s="134">
        <v>1.046514959</v>
      </c>
      <c r="G71" s="135">
        <v>4.7261814210000006</v>
      </c>
      <c r="H71" s="135">
        <v>8.4718321880000005</v>
      </c>
      <c r="I71" s="135">
        <v>13.159249549000002</v>
      </c>
      <c r="J71" s="136">
        <v>4.2030651990000001</v>
      </c>
    </row>
    <row r="72" spans="1:10">
      <c r="A72" s="125" t="s">
        <v>52</v>
      </c>
      <c r="B72" t="s">
        <v>75</v>
      </c>
      <c r="C72" s="186" t="s">
        <v>101</v>
      </c>
      <c r="D72" t="s">
        <v>100</v>
      </c>
      <c r="E72" t="s">
        <v>376</v>
      </c>
      <c r="F72" s="134">
        <v>8.4812E-5</v>
      </c>
      <c r="G72" s="135">
        <v>1.3072800000000001E-4</v>
      </c>
      <c r="H72" s="135">
        <v>0.58462845699999999</v>
      </c>
      <c r="I72" s="135">
        <v>0.62854539799999998</v>
      </c>
      <c r="J72" s="136">
        <v>0.40359796799999997</v>
      </c>
    </row>
    <row r="73" spans="1:10">
      <c r="A73" s="125" t="s">
        <v>52</v>
      </c>
      <c r="B73" t="s">
        <v>75</v>
      </c>
      <c r="C73" s="186" t="s">
        <v>378</v>
      </c>
      <c r="D73" t="s">
        <v>102</v>
      </c>
      <c r="E73" t="s">
        <v>376</v>
      </c>
      <c r="F73" s="134">
        <v>0.32027362600000003</v>
      </c>
      <c r="G73" s="135">
        <v>1.6274314890000001</v>
      </c>
      <c r="H73" s="135">
        <v>3.0373317760000003</v>
      </c>
      <c r="I73" s="135">
        <v>4.0268147179999998</v>
      </c>
      <c r="J73" s="136">
        <v>3.2168014559999998</v>
      </c>
    </row>
    <row r="74" spans="1:10">
      <c r="A74" s="125" t="s">
        <v>52</v>
      </c>
      <c r="B74" t="s">
        <v>75</v>
      </c>
      <c r="C74" s="186" t="s">
        <v>379</v>
      </c>
      <c r="D74" t="s">
        <v>104</v>
      </c>
      <c r="E74" t="s">
        <v>376</v>
      </c>
      <c r="F74" s="134">
        <v>1.2529899999999999E-4</v>
      </c>
      <c r="G74" s="135">
        <v>8.7027000000000006E-5</v>
      </c>
      <c r="H74" s="135">
        <v>9.2728999999999999E-5</v>
      </c>
      <c r="I74" s="135">
        <v>5.4389557999999998E-2</v>
      </c>
      <c r="J74" s="136">
        <v>5.8642850000000003E-3</v>
      </c>
    </row>
    <row r="75" spans="1:10">
      <c r="A75" s="125" t="s">
        <v>52</v>
      </c>
      <c r="B75" t="s">
        <v>75</v>
      </c>
      <c r="C75" s="186" t="s">
        <v>380</v>
      </c>
      <c r="D75" t="s">
        <v>106</v>
      </c>
      <c r="E75" t="s">
        <v>376</v>
      </c>
      <c r="F75" s="134">
        <v>9.0198299750000004</v>
      </c>
      <c r="G75" s="135">
        <v>6.9252017600000002</v>
      </c>
      <c r="H75" s="135">
        <v>8.3812570500000003</v>
      </c>
      <c r="I75" s="135">
        <v>7.5181082210000003</v>
      </c>
      <c r="J75" s="136">
        <v>5.3017186470000004</v>
      </c>
    </row>
    <row r="76" spans="1:10">
      <c r="A76" s="125" t="s">
        <v>52</v>
      </c>
      <c r="B76" t="s">
        <v>75</v>
      </c>
      <c r="C76" s="186" t="s">
        <v>109</v>
      </c>
      <c r="D76" t="s">
        <v>108</v>
      </c>
      <c r="E76" t="s">
        <v>376</v>
      </c>
      <c r="F76" s="134">
        <v>7.3756999999999992E-5</v>
      </c>
      <c r="G76" s="135">
        <v>2.8069999999999999E-4</v>
      </c>
      <c r="H76" s="135">
        <v>1.01183E-3</v>
      </c>
      <c r="I76" s="135">
        <v>9.6245700000000011E-4</v>
      </c>
      <c r="J76" s="136">
        <v>4.7582500000000003E-4</v>
      </c>
    </row>
    <row r="77" spans="1:10">
      <c r="A77" s="125" t="s">
        <v>52</v>
      </c>
      <c r="B77" t="s">
        <v>75</v>
      </c>
      <c r="C77" s="186" t="s">
        <v>111</v>
      </c>
      <c r="D77" t="s">
        <v>110</v>
      </c>
      <c r="E77" t="s">
        <v>376</v>
      </c>
      <c r="F77" s="134">
        <v>8.4958000000000009E-5</v>
      </c>
      <c r="G77" s="135">
        <v>1.1299900000000001E-4</v>
      </c>
      <c r="H77" s="135">
        <v>1.7347957169999999</v>
      </c>
      <c r="I77" s="135">
        <v>3.160263692</v>
      </c>
      <c r="J77" s="136">
        <v>1.8869252689999998</v>
      </c>
    </row>
    <row r="78" spans="1:10">
      <c r="A78" s="125" t="s">
        <v>52</v>
      </c>
      <c r="B78" t="s">
        <v>75</v>
      </c>
      <c r="C78" s="186" t="s">
        <v>113</v>
      </c>
      <c r="D78" t="s">
        <v>381</v>
      </c>
      <c r="E78" t="s">
        <v>376</v>
      </c>
      <c r="F78" s="134">
        <v>0.69544766400000002</v>
      </c>
      <c r="G78" s="135">
        <v>1.3966538990000001</v>
      </c>
      <c r="H78" s="135">
        <v>1.6914707260000001</v>
      </c>
      <c r="I78" s="135">
        <v>1.5419668480000002</v>
      </c>
      <c r="J78" s="136">
        <v>0.59938564999999999</v>
      </c>
    </row>
    <row r="79" spans="1:10">
      <c r="A79" s="125" t="s">
        <v>52</v>
      </c>
      <c r="B79" t="s">
        <v>75</v>
      </c>
      <c r="C79" s="186" t="s">
        <v>113</v>
      </c>
      <c r="D79" t="s">
        <v>382</v>
      </c>
      <c r="E79" t="s">
        <v>376</v>
      </c>
      <c r="F79" s="134">
        <v>0.181876232</v>
      </c>
      <c r="G79" s="135">
        <v>0.30954148100000001</v>
      </c>
      <c r="H79" s="135">
        <v>0.56017135899999992</v>
      </c>
      <c r="I79" s="135">
        <v>0.50748607200000007</v>
      </c>
      <c r="J79" s="136">
        <v>0.17434150099999998</v>
      </c>
    </row>
    <row r="80" spans="1:10">
      <c r="A80" s="125" t="s">
        <v>52</v>
      </c>
      <c r="B80" t="s">
        <v>75</v>
      </c>
      <c r="C80" s="186" t="s">
        <v>113</v>
      </c>
      <c r="D80" t="s">
        <v>383</v>
      </c>
      <c r="E80" t="s">
        <v>376</v>
      </c>
      <c r="F80" s="134">
        <v>0.72157426400000002</v>
      </c>
      <c r="G80" s="135">
        <v>0.52097983800000003</v>
      </c>
      <c r="H80" s="135">
        <v>1.2353455719999999</v>
      </c>
      <c r="I80" s="135">
        <v>0.90535575800000001</v>
      </c>
      <c r="J80" s="136">
        <v>0.32756416299999996</v>
      </c>
    </row>
    <row r="81" spans="1:10">
      <c r="A81" s="125" t="s">
        <v>52</v>
      </c>
      <c r="B81" t="s">
        <v>75</v>
      </c>
      <c r="C81" s="186" t="s">
        <v>113</v>
      </c>
      <c r="D81" t="s">
        <v>384</v>
      </c>
      <c r="E81" t="s">
        <v>376</v>
      </c>
      <c r="F81" s="134">
        <v>1.235250424</v>
      </c>
      <c r="G81" s="135">
        <v>5.2828994199999997</v>
      </c>
      <c r="H81" s="135">
        <v>6.6922478459999999</v>
      </c>
      <c r="I81" s="135">
        <v>6.3069876530000002</v>
      </c>
      <c r="J81" s="136">
        <v>3.7160132639999999</v>
      </c>
    </row>
    <row r="82" spans="1:10">
      <c r="A82" s="125" t="s">
        <v>52</v>
      </c>
      <c r="B82" t="s">
        <v>75</v>
      </c>
      <c r="C82" s="186" t="s">
        <v>113</v>
      </c>
      <c r="D82" t="s">
        <v>385</v>
      </c>
      <c r="E82" t="s">
        <v>376</v>
      </c>
      <c r="F82" s="134">
        <v>5.3588599999999996E-4</v>
      </c>
      <c r="G82" s="135">
        <v>0.41334269900000004</v>
      </c>
      <c r="H82" s="135">
        <v>1.8240583749999999</v>
      </c>
      <c r="I82" s="135">
        <v>3.7650998420000001</v>
      </c>
      <c r="J82" s="136">
        <v>1.905192816</v>
      </c>
    </row>
    <row r="83" spans="1:10">
      <c r="A83" s="125" t="s">
        <v>52</v>
      </c>
      <c r="B83" t="s">
        <v>75</v>
      </c>
      <c r="C83" s="186" t="s">
        <v>113</v>
      </c>
      <c r="D83" t="s">
        <v>386</v>
      </c>
      <c r="E83" t="s">
        <v>376</v>
      </c>
      <c r="F83" s="134">
        <v>3.3188E-4</v>
      </c>
      <c r="G83" s="135">
        <v>6.3028479380000002</v>
      </c>
      <c r="H83" s="135">
        <v>7.7828046769999997</v>
      </c>
      <c r="I83" s="135">
        <v>7.176057930999999</v>
      </c>
      <c r="J83" s="136">
        <v>5.0811305070000001</v>
      </c>
    </row>
    <row r="84" spans="1:10">
      <c r="A84" s="125" t="s">
        <v>52</v>
      </c>
      <c r="B84" t="s">
        <v>75</v>
      </c>
      <c r="C84" s="186" t="s">
        <v>115</v>
      </c>
      <c r="D84" t="s">
        <v>114</v>
      </c>
      <c r="E84" t="s">
        <v>376</v>
      </c>
      <c r="F84" s="134">
        <v>0.17896763199999999</v>
      </c>
      <c r="G84" s="135">
        <v>0.28709828400000004</v>
      </c>
      <c r="H84" s="135">
        <v>0.31898089499999999</v>
      </c>
      <c r="I84" s="135">
        <v>0.30046012300000002</v>
      </c>
      <c r="J84" s="136">
        <v>0.108804131</v>
      </c>
    </row>
    <row r="85" spans="1:10">
      <c r="A85" s="125" t="s">
        <v>52</v>
      </c>
      <c r="B85" t="s">
        <v>75</v>
      </c>
      <c r="C85" s="186" t="s">
        <v>117</v>
      </c>
      <c r="D85" t="s">
        <v>116</v>
      </c>
      <c r="E85" t="s">
        <v>376</v>
      </c>
      <c r="F85" s="134">
        <v>1.2037200000000001E-4</v>
      </c>
      <c r="G85" s="135">
        <v>5.4679999999999998E-5</v>
      </c>
      <c r="H85" s="135">
        <v>6.0100999999999999E-5</v>
      </c>
      <c r="I85" s="135">
        <v>8.7256000000000006E-5</v>
      </c>
      <c r="J85" s="136">
        <v>6.6545999999999996E-5</v>
      </c>
    </row>
    <row r="86" spans="1:10">
      <c r="A86" s="125" t="s">
        <v>52</v>
      </c>
      <c r="B86" t="s">
        <v>75</v>
      </c>
      <c r="C86" s="186" t="s">
        <v>119</v>
      </c>
      <c r="D86" t="s">
        <v>118</v>
      </c>
      <c r="E86" t="s">
        <v>376</v>
      </c>
      <c r="F86" s="134">
        <v>7.458100000000001E-5</v>
      </c>
      <c r="G86" s="135">
        <v>2.00101671</v>
      </c>
      <c r="H86" s="135">
        <v>1.859792106</v>
      </c>
      <c r="I86" s="135">
        <v>2.629649079</v>
      </c>
      <c r="J86" s="136">
        <v>0.95456303399999998</v>
      </c>
    </row>
    <row r="87" spans="1:10">
      <c r="A87" s="125" t="s">
        <v>52</v>
      </c>
      <c r="B87" t="s">
        <v>75</v>
      </c>
      <c r="C87" s="186" t="s">
        <v>387</v>
      </c>
      <c r="D87" t="s">
        <v>120</v>
      </c>
      <c r="E87" t="s">
        <v>376</v>
      </c>
      <c r="F87" s="134">
        <v>6.7191000000000001E-5</v>
      </c>
      <c r="G87" s="135">
        <v>0.22410329100000001</v>
      </c>
      <c r="H87" s="135">
        <v>4.3527380860000005</v>
      </c>
      <c r="I87" s="135">
        <v>5.5014192700000004</v>
      </c>
      <c r="J87" s="136">
        <v>2.1481540959999998</v>
      </c>
    </row>
    <row r="88" spans="1:10">
      <c r="A88" s="125" t="s">
        <v>52</v>
      </c>
      <c r="B88" t="s">
        <v>75</v>
      </c>
      <c r="C88" s="186" t="s">
        <v>123</v>
      </c>
      <c r="D88" t="s">
        <v>122</v>
      </c>
      <c r="E88" t="s">
        <v>376</v>
      </c>
      <c r="F88" s="134">
        <v>8.5356000000000001E-5</v>
      </c>
      <c r="G88" s="135">
        <v>5.5638200000000001E-4</v>
      </c>
      <c r="H88" s="135">
        <v>35.972126566999997</v>
      </c>
      <c r="I88" s="135">
        <v>30.576469539000001</v>
      </c>
      <c r="J88" s="136">
        <v>22.072470342000003</v>
      </c>
    </row>
    <row r="89" spans="1:10">
      <c r="A89" s="125" t="s">
        <v>52</v>
      </c>
      <c r="B89" t="s">
        <v>75</v>
      </c>
      <c r="C89" s="186" t="s">
        <v>125</v>
      </c>
      <c r="D89" t="s">
        <v>124</v>
      </c>
      <c r="E89" t="s">
        <v>376</v>
      </c>
      <c r="F89" s="134">
        <v>13.962996468</v>
      </c>
      <c r="G89" s="135">
        <v>9.3757462979999993</v>
      </c>
      <c r="H89" s="135">
        <v>11.878563087</v>
      </c>
      <c r="I89" s="135">
        <v>11.637513706</v>
      </c>
      <c r="J89" s="136">
        <v>8.2009110080000003</v>
      </c>
    </row>
    <row r="90" spans="1:10">
      <c r="A90" s="125" t="s">
        <v>52</v>
      </c>
      <c r="B90" t="s">
        <v>75</v>
      </c>
      <c r="C90" s="186" t="s">
        <v>127</v>
      </c>
      <c r="D90" t="s">
        <v>126</v>
      </c>
      <c r="E90" t="s">
        <v>376</v>
      </c>
      <c r="F90" s="134">
        <v>5.8205999999999998E-5</v>
      </c>
      <c r="G90" s="135">
        <v>5.1871000000000005E-5</v>
      </c>
      <c r="H90" s="135">
        <v>6.7453000000000006E-5</v>
      </c>
      <c r="I90" s="135">
        <v>6.1758000000000001E-5</v>
      </c>
      <c r="J90" s="136">
        <v>6.6772999999999992E-5</v>
      </c>
    </row>
    <row r="91" spans="1:10">
      <c r="A91" s="125" t="s">
        <v>52</v>
      </c>
      <c r="B91" t="s">
        <v>75</v>
      </c>
      <c r="C91" s="186" t="s">
        <v>129</v>
      </c>
      <c r="D91" t="s">
        <v>128</v>
      </c>
      <c r="E91" t="s">
        <v>376</v>
      </c>
      <c r="F91" s="134">
        <v>0.51576311399999997</v>
      </c>
      <c r="G91" s="135">
        <v>0.78939230699999996</v>
      </c>
      <c r="H91" s="135">
        <v>1.1049794469999998</v>
      </c>
      <c r="I91" s="135">
        <v>5.996376227999999</v>
      </c>
      <c r="J91" s="136">
        <v>2.5094110070000002</v>
      </c>
    </row>
    <row r="92" spans="1:10">
      <c r="A92" s="125" t="s">
        <v>52</v>
      </c>
      <c r="B92" t="s">
        <v>75</v>
      </c>
      <c r="C92" s="186" t="s">
        <v>131</v>
      </c>
      <c r="D92" t="s">
        <v>130</v>
      </c>
      <c r="E92" t="s">
        <v>376</v>
      </c>
      <c r="F92" s="134">
        <v>3.8366554999999997E-2</v>
      </c>
      <c r="G92" s="135">
        <v>2.7293481000000001E-2</v>
      </c>
      <c r="H92" s="135">
        <v>1.00958E-4</v>
      </c>
      <c r="I92" s="135">
        <v>6.0415217E-2</v>
      </c>
      <c r="J92" s="136">
        <v>1.3006808999999999E-2</v>
      </c>
    </row>
    <row r="93" spans="1:10">
      <c r="A93" s="137" t="s">
        <v>52</v>
      </c>
      <c r="B93" s="138" t="s">
        <v>75</v>
      </c>
      <c r="C93" s="189" t="s">
        <v>388</v>
      </c>
      <c r="D93" s="138" t="s">
        <v>132</v>
      </c>
      <c r="E93" s="138" t="s">
        <v>376</v>
      </c>
      <c r="F93" s="139">
        <v>1.283010778</v>
      </c>
      <c r="G93" s="141">
        <v>2.8717008149999996</v>
      </c>
      <c r="H93" s="141">
        <v>3.6028810939999998</v>
      </c>
      <c r="I93" s="141">
        <v>6.3214790379999997</v>
      </c>
      <c r="J93" s="140">
        <v>2.0136716149999998</v>
      </c>
    </row>
  </sheetData>
  <mergeCells count="1">
    <mergeCell ref="F4:J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3:T34"/>
  <sheetViews>
    <sheetView workbookViewId="0">
      <selection activeCell="I39" sqref="I39"/>
    </sheetView>
  </sheetViews>
  <sheetFormatPr defaultColWidth="9.140625" defaultRowHeight="15"/>
  <cols>
    <col min="1" max="1" width="13.85546875" bestFit="1" customWidth="1"/>
    <col min="5" max="5" width="9.7109375" bestFit="1" customWidth="1"/>
    <col min="6" max="6" width="7.5703125" bestFit="1" customWidth="1"/>
    <col min="7" max="7" width="4.85546875" bestFit="1" customWidth="1"/>
    <col min="8" max="8" width="10.85546875" bestFit="1" customWidth="1"/>
    <col min="9" max="9" width="11.28515625" bestFit="1" customWidth="1"/>
    <col min="10" max="10" width="14.5703125" bestFit="1" customWidth="1"/>
    <col min="11" max="11" width="8.28515625" bestFit="1" customWidth="1"/>
    <col min="12" max="12" width="14.5703125" bestFit="1" customWidth="1"/>
    <col min="13" max="13" width="12" bestFit="1" customWidth="1"/>
    <col min="14" max="14" width="13.28515625" bestFit="1" customWidth="1"/>
    <col min="15" max="15" width="9.7109375" bestFit="1" customWidth="1"/>
    <col min="16" max="16" width="19.85546875" bestFit="1" customWidth="1"/>
    <col min="17" max="17" width="8.5703125" bestFit="1" customWidth="1"/>
    <col min="18" max="18" width="9.5703125" bestFit="1" customWidth="1"/>
    <col min="19" max="19" width="8.5703125" bestFit="1" customWidth="1"/>
  </cols>
  <sheetData>
    <row r="3" spans="1:20">
      <c r="E3" s="220" t="s">
        <v>389</v>
      </c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2"/>
    </row>
    <row r="4" spans="1:20">
      <c r="A4" s="137" t="s">
        <v>373</v>
      </c>
      <c r="B4" s="127" t="s">
        <v>136</v>
      </c>
      <c r="C4" s="127" t="s">
        <v>390</v>
      </c>
      <c r="D4" s="128" t="s">
        <v>375</v>
      </c>
      <c r="E4" s="147" t="s">
        <v>69</v>
      </c>
      <c r="F4" s="147" t="s">
        <v>72</v>
      </c>
      <c r="G4" s="147" t="s">
        <v>63</v>
      </c>
      <c r="H4" s="147" t="s">
        <v>78</v>
      </c>
      <c r="I4" s="147" t="s">
        <v>80</v>
      </c>
      <c r="J4" s="147" t="s">
        <v>92</v>
      </c>
      <c r="K4" s="147" t="s">
        <v>60</v>
      </c>
      <c r="L4" s="147" t="s">
        <v>66</v>
      </c>
      <c r="M4" s="147" t="s">
        <v>87</v>
      </c>
      <c r="N4" s="147" t="s">
        <v>57</v>
      </c>
      <c r="O4" s="147" t="s">
        <v>83</v>
      </c>
      <c r="P4" s="147" t="s">
        <v>85</v>
      </c>
      <c r="Q4" s="147" t="s">
        <v>76</v>
      </c>
      <c r="R4" s="147" t="s">
        <v>75</v>
      </c>
      <c r="S4" s="147" t="s">
        <v>90</v>
      </c>
      <c r="T4" s="144" t="s">
        <v>391</v>
      </c>
    </row>
    <row r="5" spans="1:20">
      <c r="A5" t="s">
        <v>44</v>
      </c>
      <c r="B5" t="s">
        <v>392</v>
      </c>
      <c r="C5">
        <v>2025</v>
      </c>
      <c r="D5" t="s">
        <v>376</v>
      </c>
      <c r="E5" s="142">
        <v>2885.424904009004</v>
      </c>
      <c r="F5" s="142">
        <v>4120.8366517456298</v>
      </c>
      <c r="G5" s="142">
        <v>387.97669532389898</v>
      </c>
      <c r="H5" s="142">
        <v>2295.0244460855142</v>
      </c>
      <c r="I5" s="142">
        <v>642.62098300899959</v>
      </c>
      <c r="J5" s="142">
        <v>61.786321446866978</v>
      </c>
      <c r="K5" s="142">
        <v>1213.7121296238204</v>
      </c>
      <c r="L5" s="142">
        <v>549.71328370829985</v>
      </c>
      <c r="M5" s="142">
        <v>40.280319526000021</v>
      </c>
      <c r="N5" s="142">
        <v>370.00091885220019</v>
      </c>
      <c r="O5" s="142">
        <v>0.35603627132999977</v>
      </c>
      <c r="P5" s="142">
        <v>0</v>
      </c>
      <c r="Q5" s="142">
        <v>425.99106422400007</v>
      </c>
      <c r="R5" s="142">
        <v>5.697345523479</v>
      </c>
      <c r="S5" s="142">
        <v>0.59333333333333327</v>
      </c>
      <c r="T5" s="145">
        <v>13000.014432682376</v>
      </c>
    </row>
    <row r="6" spans="1:20">
      <c r="A6" t="s">
        <v>46</v>
      </c>
      <c r="B6" t="s">
        <v>392</v>
      </c>
      <c r="C6">
        <v>2025</v>
      </c>
      <c r="D6" t="s">
        <v>376</v>
      </c>
      <c r="E6" s="142">
        <v>2882.7033650220033</v>
      </c>
      <c r="F6" s="142">
        <v>4123.9443030809316</v>
      </c>
      <c r="G6" s="142">
        <v>387.968389922499</v>
      </c>
      <c r="H6" s="142">
        <v>2314.8191805577185</v>
      </c>
      <c r="I6" s="142">
        <v>642.72959834400001</v>
      </c>
      <c r="J6" s="142">
        <v>61.745078059566993</v>
      </c>
      <c r="K6" s="142">
        <v>1214.6285897691023</v>
      </c>
      <c r="L6" s="142">
        <v>558.04081210429956</v>
      </c>
      <c r="M6" s="142">
        <v>40.334863387000013</v>
      </c>
      <c r="N6" s="142">
        <v>379.65704898619975</v>
      </c>
      <c r="O6" s="142">
        <v>0.36185088832999973</v>
      </c>
      <c r="P6" s="142">
        <v>0</v>
      </c>
      <c r="Q6" s="142">
        <v>425.99531793400001</v>
      </c>
      <c r="R6" s="142">
        <v>7.5391554140290022</v>
      </c>
      <c r="S6" s="142">
        <v>0</v>
      </c>
      <c r="T6" s="145">
        <v>13040.46755346968</v>
      </c>
    </row>
    <row r="7" spans="1:20">
      <c r="A7" t="s">
        <v>48</v>
      </c>
      <c r="B7" t="s">
        <v>392</v>
      </c>
      <c r="C7">
        <v>2025</v>
      </c>
      <c r="D7" t="s">
        <v>376</v>
      </c>
      <c r="E7" s="142">
        <v>2790.6600623859999</v>
      </c>
      <c r="F7" s="142">
        <v>4110.8378011884397</v>
      </c>
      <c r="G7" s="142">
        <v>381.05340766744075</v>
      </c>
      <c r="H7" s="142">
        <v>2340.0467878327099</v>
      </c>
      <c r="I7" s="142">
        <v>636.88702540099996</v>
      </c>
      <c r="J7" s="142">
        <v>61.768031277644987</v>
      </c>
      <c r="K7" s="142">
        <v>1213.0763036641706</v>
      </c>
      <c r="L7" s="142">
        <v>560.5729416986992</v>
      </c>
      <c r="M7" s="142">
        <v>40.334863387000013</v>
      </c>
      <c r="N7" s="142">
        <v>366.93886639819999</v>
      </c>
      <c r="O7" s="142">
        <v>0.31959316002999943</v>
      </c>
      <c r="P7" s="142">
        <v>0</v>
      </c>
      <c r="Q7" s="142">
        <v>425.99531793400001</v>
      </c>
      <c r="R7" s="142">
        <v>112.89408742269991</v>
      </c>
      <c r="S7" s="142">
        <v>0</v>
      </c>
      <c r="T7" s="145">
        <v>13041.385089418034</v>
      </c>
    </row>
    <row r="8" spans="1:20">
      <c r="A8" t="s">
        <v>50</v>
      </c>
      <c r="B8" t="s">
        <v>392</v>
      </c>
      <c r="C8">
        <v>2025</v>
      </c>
      <c r="D8" t="s">
        <v>376</v>
      </c>
      <c r="E8" s="142">
        <v>2785.1974415999994</v>
      </c>
      <c r="F8" s="142">
        <v>4112.0304764684406</v>
      </c>
      <c r="G8" s="142">
        <v>381.05340766744075</v>
      </c>
      <c r="H8" s="142">
        <v>2340.0467878327099</v>
      </c>
      <c r="I8" s="142">
        <v>636.88702540099996</v>
      </c>
      <c r="J8" s="142">
        <v>61.768031277644987</v>
      </c>
      <c r="K8" s="142">
        <v>1213.1660749121711</v>
      </c>
      <c r="L8" s="142">
        <v>560.5729416986992</v>
      </c>
      <c r="M8" s="142">
        <v>40.334863387000013</v>
      </c>
      <c r="N8" s="142">
        <v>366.93886639819999</v>
      </c>
      <c r="O8" s="142">
        <v>0.31959316002999943</v>
      </c>
      <c r="P8" s="142">
        <v>0</v>
      </c>
      <c r="Q8" s="142">
        <v>425.99531793400001</v>
      </c>
      <c r="R8" s="142">
        <v>112.75981072369991</v>
      </c>
      <c r="S8" s="142">
        <v>0</v>
      </c>
      <c r="T8" s="145">
        <v>13037.070638461035</v>
      </c>
    </row>
    <row r="9" spans="1:20">
      <c r="A9" s="138" t="s">
        <v>52</v>
      </c>
      <c r="B9" s="138" t="s">
        <v>392</v>
      </c>
      <c r="C9" s="138">
        <v>2025</v>
      </c>
      <c r="D9" s="138" t="s">
        <v>376</v>
      </c>
      <c r="E9" s="143">
        <v>2777.4437193959948</v>
      </c>
      <c r="F9" s="143">
        <v>4100.9398367534413</v>
      </c>
      <c r="G9" s="143">
        <v>380.49258540444066</v>
      </c>
      <c r="H9" s="143">
        <v>2417.3688094197105</v>
      </c>
      <c r="I9" s="143">
        <v>636.88702540099996</v>
      </c>
      <c r="J9" s="143">
        <v>61.768031277644987</v>
      </c>
      <c r="K9" s="143">
        <v>1194.8251781661691</v>
      </c>
      <c r="L9" s="143">
        <v>557.65919561969895</v>
      </c>
      <c r="M9" s="143">
        <v>39.105582271999999</v>
      </c>
      <c r="N9" s="143">
        <v>349.02193073119997</v>
      </c>
      <c r="O9" s="143">
        <v>0.31959316002999943</v>
      </c>
      <c r="P9" s="143">
        <v>0</v>
      </c>
      <c r="Q9" s="143">
        <v>425.99531793400001</v>
      </c>
      <c r="R9" s="143">
        <v>112.7873113599199</v>
      </c>
      <c r="S9" s="143">
        <v>0</v>
      </c>
      <c r="T9" s="146">
        <v>13054.614116895249</v>
      </c>
    </row>
    <row r="10" spans="1:20">
      <c r="A10" t="s">
        <v>44</v>
      </c>
      <c r="B10" t="s">
        <v>392</v>
      </c>
      <c r="C10">
        <v>2030</v>
      </c>
      <c r="D10" t="s">
        <v>376</v>
      </c>
      <c r="E10" s="142">
        <v>3359.6039199440147</v>
      </c>
      <c r="F10" s="142">
        <v>2733.4844134834111</v>
      </c>
      <c r="G10" s="142">
        <v>273.34647049134861</v>
      </c>
      <c r="H10" s="142">
        <v>1707.7136397836505</v>
      </c>
      <c r="I10" s="142">
        <v>590.96942235599988</v>
      </c>
      <c r="J10" s="142">
        <v>59.181475376079987</v>
      </c>
      <c r="K10" s="142">
        <v>1118.3279925784682</v>
      </c>
      <c r="L10" s="142">
        <v>564.52688570600037</v>
      </c>
      <c r="M10" s="142">
        <v>47.921285293000011</v>
      </c>
      <c r="N10" s="142">
        <v>595.5102914681994</v>
      </c>
      <c r="O10" s="142">
        <v>0.53829477569999951</v>
      </c>
      <c r="P10" s="142">
        <v>0</v>
      </c>
      <c r="Q10" s="142">
        <v>319.76506628671996</v>
      </c>
      <c r="R10" s="142">
        <v>59.503828940286034</v>
      </c>
      <c r="S10" s="142">
        <v>144.10567596194667</v>
      </c>
      <c r="T10" s="145">
        <v>11574.498662444823</v>
      </c>
    </row>
    <row r="11" spans="1:20">
      <c r="A11" t="s">
        <v>46</v>
      </c>
      <c r="B11" t="s">
        <v>392</v>
      </c>
      <c r="C11">
        <v>2030</v>
      </c>
      <c r="D11" t="s">
        <v>376</v>
      </c>
      <c r="E11" s="142">
        <v>3321.1757790630118</v>
      </c>
      <c r="F11" s="142">
        <v>2742.2636863404018</v>
      </c>
      <c r="G11" s="142">
        <v>274.17839946854843</v>
      </c>
      <c r="H11" s="142">
        <v>1732.5861916964398</v>
      </c>
      <c r="I11" s="142">
        <v>576.79010896699992</v>
      </c>
      <c r="J11" s="142">
        <v>59.243795108580009</v>
      </c>
      <c r="K11" s="142">
        <v>1120.8484981421382</v>
      </c>
      <c r="L11" s="142">
        <v>582.27830047099962</v>
      </c>
      <c r="M11" s="142">
        <v>48.033196239000006</v>
      </c>
      <c r="N11" s="142">
        <v>619.71275532519928</v>
      </c>
      <c r="O11" s="142">
        <v>0.57844865469999995</v>
      </c>
      <c r="P11" s="142">
        <v>0</v>
      </c>
      <c r="Q11" s="142">
        <v>400.69526958747008</v>
      </c>
      <c r="R11" s="142">
        <v>112.5922825378461</v>
      </c>
      <c r="S11" s="142">
        <v>40.750896075530008</v>
      </c>
      <c r="T11" s="145">
        <v>11631.727607676863</v>
      </c>
    </row>
    <row r="12" spans="1:20">
      <c r="A12" t="s">
        <v>48</v>
      </c>
      <c r="B12" t="s">
        <v>392</v>
      </c>
      <c r="C12">
        <v>2030</v>
      </c>
      <c r="D12" t="s">
        <v>376</v>
      </c>
      <c r="E12" s="142">
        <v>3135.7551056650104</v>
      </c>
      <c r="F12" s="142">
        <v>2702.4832748957747</v>
      </c>
      <c r="G12" s="142">
        <v>251.87370632333821</v>
      </c>
      <c r="H12" s="142">
        <v>1812.6661010113719</v>
      </c>
      <c r="I12" s="142">
        <v>556.62572395299992</v>
      </c>
      <c r="J12" s="142">
        <v>58.775807522785996</v>
      </c>
      <c r="K12" s="142">
        <v>1107.6290674130478</v>
      </c>
      <c r="L12" s="142">
        <v>586.0938512811</v>
      </c>
      <c r="M12" s="142">
        <v>48.033196239000006</v>
      </c>
      <c r="N12" s="142">
        <v>592.85712330619901</v>
      </c>
      <c r="O12" s="142">
        <v>0.41531966360000022</v>
      </c>
      <c r="P12" s="142">
        <v>0</v>
      </c>
      <c r="Q12" s="142">
        <v>400.69526958747008</v>
      </c>
      <c r="R12" s="142">
        <v>340.78107314493957</v>
      </c>
      <c r="S12" s="142">
        <v>40.750896075530008</v>
      </c>
      <c r="T12" s="145">
        <v>11635.435516082169</v>
      </c>
    </row>
    <row r="13" spans="1:20">
      <c r="A13" t="s">
        <v>50</v>
      </c>
      <c r="B13" t="s">
        <v>392</v>
      </c>
      <c r="C13">
        <v>2030</v>
      </c>
      <c r="D13" t="s">
        <v>376</v>
      </c>
      <c r="E13" s="142">
        <v>3097.0822513360135</v>
      </c>
      <c r="F13" s="142">
        <v>2890.3087927787774</v>
      </c>
      <c r="G13" s="142">
        <v>251.87370632333821</v>
      </c>
      <c r="H13" s="142">
        <v>1812.6661010113719</v>
      </c>
      <c r="I13" s="142">
        <v>556.62572395299992</v>
      </c>
      <c r="J13" s="142">
        <v>58.775807522785996</v>
      </c>
      <c r="K13" s="142">
        <v>1124.0979481470465</v>
      </c>
      <c r="L13" s="142">
        <v>586.0938512811</v>
      </c>
      <c r="M13" s="142">
        <v>48.033196239000006</v>
      </c>
      <c r="N13" s="142">
        <v>592.85712330619901</v>
      </c>
      <c r="O13" s="142">
        <v>0.41531966360000022</v>
      </c>
      <c r="P13" s="142">
        <v>0</v>
      </c>
      <c r="Q13" s="142">
        <v>400.69526958747008</v>
      </c>
      <c r="R13" s="142">
        <v>339.41127429893976</v>
      </c>
      <c r="S13" s="142">
        <v>41.046600677530009</v>
      </c>
      <c r="T13" s="145">
        <v>11799.982966126172</v>
      </c>
    </row>
    <row r="14" spans="1:20">
      <c r="A14" s="138" t="s">
        <v>52</v>
      </c>
      <c r="B14" s="138" t="s">
        <v>392</v>
      </c>
      <c r="C14" s="138">
        <v>2030</v>
      </c>
      <c r="D14" s="138" t="s">
        <v>376</v>
      </c>
      <c r="E14" s="143">
        <v>3069.0263141480063</v>
      </c>
      <c r="F14" s="143">
        <v>2906.120524010772</v>
      </c>
      <c r="G14" s="143">
        <v>251.23910411533822</v>
      </c>
      <c r="H14" s="143">
        <v>1974.6135737163731</v>
      </c>
      <c r="I14" s="143">
        <v>556.62572395299992</v>
      </c>
      <c r="J14" s="143">
        <v>58.775807522785996</v>
      </c>
      <c r="K14" s="143">
        <v>1082.8618914586498</v>
      </c>
      <c r="L14" s="143">
        <v>580.41393078410022</v>
      </c>
      <c r="M14" s="143">
        <v>43.604756446000067</v>
      </c>
      <c r="N14" s="143">
        <v>531.7221878371995</v>
      </c>
      <c r="O14" s="143">
        <v>0.41531966360000022</v>
      </c>
      <c r="P14" s="143">
        <v>0</v>
      </c>
      <c r="Q14" s="143">
        <v>400.69526958747008</v>
      </c>
      <c r="R14" s="143">
        <v>340.29194679343965</v>
      </c>
      <c r="S14" s="143">
        <v>41.046600677530009</v>
      </c>
      <c r="T14" s="146">
        <v>11837.452950714265</v>
      </c>
    </row>
    <row r="15" spans="1:20">
      <c r="A15" t="s">
        <v>44</v>
      </c>
      <c r="B15" t="s">
        <v>392</v>
      </c>
      <c r="C15">
        <v>2035</v>
      </c>
      <c r="D15" t="s">
        <v>376</v>
      </c>
      <c r="E15" s="142">
        <v>3916.8575602359992</v>
      </c>
      <c r="F15" s="142">
        <v>1188.0512272872786</v>
      </c>
      <c r="G15" s="142">
        <v>157.18254337435096</v>
      </c>
      <c r="H15" s="142">
        <v>1006.403461236579</v>
      </c>
      <c r="I15" s="142">
        <v>533.35605855800031</v>
      </c>
      <c r="J15" s="142">
        <v>53.244763398261028</v>
      </c>
      <c r="K15" s="142">
        <v>1165.8723659105785</v>
      </c>
      <c r="L15" s="142">
        <v>570.68593228319969</v>
      </c>
      <c r="M15" s="142">
        <v>51.795103994000044</v>
      </c>
      <c r="N15" s="142">
        <v>913.20421962019918</v>
      </c>
      <c r="O15" s="142">
        <v>0.52413482159999991</v>
      </c>
      <c r="P15" s="142">
        <v>0</v>
      </c>
      <c r="Q15" s="142">
        <v>219.14403874090004</v>
      </c>
      <c r="R15" s="142">
        <v>128.23495390576605</v>
      </c>
      <c r="S15" s="142">
        <v>356.43187637376684</v>
      </c>
      <c r="T15" s="145">
        <v>10260.988239740482</v>
      </c>
    </row>
    <row r="16" spans="1:20">
      <c r="A16" t="s">
        <v>46</v>
      </c>
      <c r="B16" t="s">
        <v>392</v>
      </c>
      <c r="C16">
        <v>2035</v>
      </c>
      <c r="D16" t="s">
        <v>376</v>
      </c>
      <c r="E16" s="142">
        <v>3835.8957088490001</v>
      </c>
      <c r="F16" s="142">
        <v>1195.4331612247011</v>
      </c>
      <c r="G16" s="142">
        <v>161.65460379292873</v>
      </c>
      <c r="H16" s="142">
        <v>1023.8270702064713</v>
      </c>
      <c r="I16" s="142">
        <v>473.7541467690001</v>
      </c>
      <c r="J16" s="142">
        <v>53.307362632161045</v>
      </c>
      <c r="K16" s="142">
        <v>1185.2126993667994</v>
      </c>
      <c r="L16" s="142">
        <v>593.6441695201994</v>
      </c>
      <c r="M16" s="142">
        <v>51.934261837999998</v>
      </c>
      <c r="N16" s="142">
        <v>952.92704934819915</v>
      </c>
      <c r="O16" s="142">
        <v>0.56976805460000002</v>
      </c>
      <c r="P16" s="142">
        <v>0</v>
      </c>
      <c r="Q16" s="142">
        <v>257.76917301456001</v>
      </c>
      <c r="R16" s="142">
        <v>343.35896343149574</v>
      </c>
      <c r="S16" s="142">
        <v>236.52907665044003</v>
      </c>
      <c r="T16" s="145">
        <v>10365.817214698556</v>
      </c>
    </row>
    <row r="17" spans="1:20">
      <c r="A17" t="s">
        <v>48</v>
      </c>
      <c r="B17" t="s">
        <v>392</v>
      </c>
      <c r="C17">
        <v>2035</v>
      </c>
      <c r="D17" t="s">
        <v>376</v>
      </c>
      <c r="E17" s="142">
        <v>3617.0660016889951</v>
      </c>
      <c r="F17" s="142">
        <v>1163.0726491182388</v>
      </c>
      <c r="G17" s="142">
        <v>140.36165418775084</v>
      </c>
      <c r="H17" s="142">
        <v>1100.6706003091961</v>
      </c>
      <c r="I17" s="142">
        <v>452.14530462099953</v>
      </c>
      <c r="J17" s="142">
        <v>52.835143113826007</v>
      </c>
      <c r="K17" s="142">
        <v>1140.6960379975599</v>
      </c>
      <c r="L17" s="142">
        <v>599.24190671189967</v>
      </c>
      <c r="M17" s="142">
        <v>51.934261837999998</v>
      </c>
      <c r="N17" s="142">
        <v>911.13353365919966</v>
      </c>
      <c r="O17" s="142">
        <v>0.36125000100000004</v>
      </c>
      <c r="P17" s="142">
        <v>0</v>
      </c>
      <c r="Q17" s="142">
        <v>257.76917301456001</v>
      </c>
      <c r="R17" s="142">
        <v>653.07315192689043</v>
      </c>
      <c r="S17" s="142">
        <v>236.52907665044003</v>
      </c>
      <c r="T17" s="145">
        <v>10376.889744838556</v>
      </c>
    </row>
    <row r="18" spans="1:20">
      <c r="A18" t="s">
        <v>50</v>
      </c>
      <c r="B18" t="s">
        <v>392</v>
      </c>
      <c r="C18">
        <v>2035</v>
      </c>
      <c r="D18" t="s">
        <v>376</v>
      </c>
      <c r="E18" s="142">
        <v>3504.3125410839934</v>
      </c>
      <c r="F18" s="142">
        <v>1514.7459133942391</v>
      </c>
      <c r="G18" s="142">
        <v>140.36165418775084</v>
      </c>
      <c r="H18" s="142">
        <v>1100.6706003091961</v>
      </c>
      <c r="I18" s="142">
        <v>452.14530462099953</v>
      </c>
      <c r="J18" s="142">
        <v>52.835143113826007</v>
      </c>
      <c r="K18" s="142">
        <v>1113.7537744395599</v>
      </c>
      <c r="L18" s="142">
        <v>599.24190671189967</v>
      </c>
      <c r="M18" s="142">
        <v>51.934261837999998</v>
      </c>
      <c r="N18" s="142">
        <v>911.13353365919966</v>
      </c>
      <c r="O18" s="142">
        <v>0.36125000100000004</v>
      </c>
      <c r="P18" s="142">
        <v>0</v>
      </c>
      <c r="Q18" s="142">
        <v>257.76917301456001</v>
      </c>
      <c r="R18" s="142">
        <v>640.1907082908906</v>
      </c>
      <c r="S18" s="142">
        <v>306.11375076043998</v>
      </c>
      <c r="T18" s="145">
        <v>10645.569515425555</v>
      </c>
    </row>
    <row r="19" spans="1:20">
      <c r="A19" s="138" t="s">
        <v>52</v>
      </c>
      <c r="B19" s="138" t="s">
        <v>392</v>
      </c>
      <c r="C19" s="138">
        <v>2035</v>
      </c>
      <c r="D19" s="138" t="s">
        <v>376</v>
      </c>
      <c r="E19" s="143">
        <v>3437.2949179080088</v>
      </c>
      <c r="F19" s="143">
        <v>1550.5455336582404</v>
      </c>
      <c r="G19" s="143">
        <v>140.7312999127509</v>
      </c>
      <c r="H19" s="143">
        <v>1389.6459210781982</v>
      </c>
      <c r="I19" s="143">
        <v>452.14530462099953</v>
      </c>
      <c r="J19" s="143">
        <v>52.835143113826007</v>
      </c>
      <c r="K19" s="143">
        <v>1025.5802012555603</v>
      </c>
      <c r="L19" s="143">
        <v>581.84447183190002</v>
      </c>
      <c r="M19" s="143">
        <v>44.32277218100004</v>
      </c>
      <c r="N19" s="143">
        <v>761.3177647001994</v>
      </c>
      <c r="O19" s="143">
        <v>0.36125000100000004</v>
      </c>
      <c r="P19" s="143">
        <v>0</v>
      </c>
      <c r="Q19" s="143">
        <v>257.76917301456001</v>
      </c>
      <c r="R19" s="143">
        <v>700.05608841477977</v>
      </c>
      <c r="S19" s="143">
        <v>306.11375076043998</v>
      </c>
      <c r="T19" s="146">
        <v>10700.563592451465</v>
      </c>
    </row>
    <row r="20" spans="1:20">
      <c r="A20" t="s">
        <v>44</v>
      </c>
      <c r="B20" t="s">
        <v>392</v>
      </c>
      <c r="C20">
        <v>2040</v>
      </c>
      <c r="D20" t="s">
        <v>376</v>
      </c>
      <c r="E20" s="142">
        <v>4265.43561163099</v>
      </c>
      <c r="F20" s="142">
        <v>478.17622570322817</v>
      </c>
      <c r="G20" s="142">
        <v>63.008409710010966</v>
      </c>
      <c r="H20" s="142">
        <v>431.17937029110124</v>
      </c>
      <c r="I20" s="142">
        <v>492.97800042569975</v>
      </c>
      <c r="J20" s="142">
        <v>48.318903688343994</v>
      </c>
      <c r="K20" s="142">
        <v>1113.7355040128698</v>
      </c>
      <c r="L20" s="142">
        <v>555.33639747300037</v>
      </c>
      <c r="M20" s="142">
        <v>49.600889097199932</v>
      </c>
      <c r="N20" s="142">
        <v>1161.9582904062011</v>
      </c>
      <c r="O20" s="142">
        <v>0.55384935470000007</v>
      </c>
      <c r="P20" s="142">
        <v>18.419737991899961</v>
      </c>
      <c r="Q20" s="142">
        <v>126.82362966735903</v>
      </c>
      <c r="R20" s="142">
        <v>164.98135328844978</v>
      </c>
      <c r="S20" s="142">
        <v>549.61552301797428</v>
      </c>
      <c r="T20" s="145">
        <v>9520.1216957590259</v>
      </c>
    </row>
    <row r="21" spans="1:20">
      <c r="A21" t="s">
        <v>46</v>
      </c>
      <c r="B21" t="s">
        <v>392</v>
      </c>
      <c r="C21">
        <v>2040</v>
      </c>
      <c r="D21" t="s">
        <v>376</v>
      </c>
      <c r="E21" s="142">
        <v>4179.260948442994</v>
      </c>
      <c r="F21" s="142">
        <v>480.10244233967808</v>
      </c>
      <c r="G21" s="142">
        <v>66.504156119199024</v>
      </c>
      <c r="H21" s="142">
        <v>437.11688281504786</v>
      </c>
      <c r="I21" s="142">
        <v>348.87136592970029</v>
      </c>
      <c r="J21" s="142">
        <v>48.381081777471969</v>
      </c>
      <c r="K21" s="142">
        <v>1131.5345179572003</v>
      </c>
      <c r="L21" s="142">
        <v>582.96977653399995</v>
      </c>
      <c r="M21" s="142">
        <v>49.764119194999886</v>
      </c>
      <c r="N21" s="142">
        <v>1219.7575336542016</v>
      </c>
      <c r="O21" s="142">
        <v>0.62079545070000008</v>
      </c>
      <c r="P21" s="142">
        <v>19.084918912703923</v>
      </c>
      <c r="Q21" s="142">
        <v>91.225118808320019</v>
      </c>
      <c r="R21" s="142">
        <v>634.99809273844949</v>
      </c>
      <c r="S21" s="142">
        <v>404.84790745368008</v>
      </c>
      <c r="T21" s="145">
        <v>9695.0396581283476</v>
      </c>
    </row>
    <row r="22" spans="1:20">
      <c r="A22" t="s">
        <v>48</v>
      </c>
      <c r="B22" t="s">
        <v>392</v>
      </c>
      <c r="C22">
        <v>2040</v>
      </c>
      <c r="D22" t="s">
        <v>376</v>
      </c>
      <c r="E22" s="142">
        <v>3926.3460182349913</v>
      </c>
      <c r="F22" s="142">
        <v>462.41727905010714</v>
      </c>
      <c r="G22" s="142">
        <v>61.180399337971011</v>
      </c>
      <c r="H22" s="142">
        <v>461.32099326347645</v>
      </c>
      <c r="I22" s="142">
        <v>342.94832509340017</v>
      </c>
      <c r="J22" s="142">
        <v>47.863665762482</v>
      </c>
      <c r="K22" s="142">
        <v>1091.5039530180497</v>
      </c>
      <c r="L22" s="142">
        <v>589.76796718400033</v>
      </c>
      <c r="M22" s="142">
        <v>49.764119194999886</v>
      </c>
      <c r="N22" s="142">
        <v>1169.4474775442018</v>
      </c>
      <c r="O22" s="142">
        <v>0.44050694599999995</v>
      </c>
      <c r="P22" s="142">
        <v>21.796515326711958</v>
      </c>
      <c r="Q22" s="142">
        <v>91.225118808320019</v>
      </c>
      <c r="R22" s="142">
        <v>989.54040461427985</v>
      </c>
      <c r="S22" s="142">
        <v>404.84790745368008</v>
      </c>
      <c r="T22" s="145">
        <v>9710.4106508326713</v>
      </c>
    </row>
    <row r="23" spans="1:20">
      <c r="A23" t="s">
        <v>50</v>
      </c>
      <c r="B23" t="s">
        <v>392</v>
      </c>
      <c r="C23">
        <v>2040</v>
      </c>
      <c r="D23" t="s">
        <v>376</v>
      </c>
      <c r="E23" s="142">
        <v>3746.1521728409921</v>
      </c>
      <c r="F23" s="142">
        <v>650.95789854610678</v>
      </c>
      <c r="G23" s="142">
        <v>61.180399337971011</v>
      </c>
      <c r="H23" s="142">
        <v>461.32099326347645</v>
      </c>
      <c r="I23" s="142">
        <v>342.94832509340017</v>
      </c>
      <c r="J23" s="142">
        <v>47.863665762482</v>
      </c>
      <c r="K23" s="142">
        <v>1026.1958746300495</v>
      </c>
      <c r="L23" s="142">
        <v>589.76796718400033</v>
      </c>
      <c r="M23" s="142">
        <v>49.764119194999886</v>
      </c>
      <c r="N23" s="142">
        <v>1169.4474775442018</v>
      </c>
      <c r="O23" s="142">
        <v>0.44050694599999995</v>
      </c>
      <c r="P23" s="142">
        <v>21.796515326711958</v>
      </c>
      <c r="Q23" s="142">
        <v>91.225118808320019</v>
      </c>
      <c r="R23" s="142">
        <v>1131.0483073842804</v>
      </c>
      <c r="S23" s="142">
        <v>519.13760680168002</v>
      </c>
      <c r="T23" s="145">
        <v>9909.2469486646733</v>
      </c>
    </row>
    <row r="24" spans="1:20">
      <c r="A24" s="138" t="s">
        <v>52</v>
      </c>
      <c r="B24" s="138" t="s">
        <v>392</v>
      </c>
      <c r="C24" s="138">
        <v>2040</v>
      </c>
      <c r="D24" s="138" t="s">
        <v>376</v>
      </c>
      <c r="E24" s="143">
        <v>3640.8954923869924</v>
      </c>
      <c r="F24" s="143">
        <v>662.788812031107</v>
      </c>
      <c r="G24" s="143">
        <v>61.200344974970996</v>
      </c>
      <c r="H24" s="143">
        <v>772.12594718147693</v>
      </c>
      <c r="I24" s="143">
        <v>342.94832509340017</v>
      </c>
      <c r="J24" s="143">
        <v>47.863665762482</v>
      </c>
      <c r="K24" s="143">
        <v>891.26152827204965</v>
      </c>
      <c r="L24" s="143">
        <v>556.85634394599992</v>
      </c>
      <c r="M24" s="143">
        <v>40.076085697999979</v>
      </c>
      <c r="N24" s="143">
        <v>934.1334997192007</v>
      </c>
      <c r="O24" s="143">
        <v>0.44050694599999995</v>
      </c>
      <c r="P24" s="143">
        <v>21.796515326711958</v>
      </c>
      <c r="Q24" s="143">
        <v>91.225118808320019</v>
      </c>
      <c r="R24" s="143">
        <v>1389.9057522061987</v>
      </c>
      <c r="S24" s="143">
        <v>519.13760680168002</v>
      </c>
      <c r="T24" s="146">
        <v>9972.6555451545919</v>
      </c>
    </row>
    <row r="25" spans="1:20">
      <c r="A25" t="s">
        <v>44</v>
      </c>
      <c r="B25" t="s">
        <v>392</v>
      </c>
      <c r="C25">
        <v>2045</v>
      </c>
      <c r="D25" t="s">
        <v>376</v>
      </c>
      <c r="E25" s="142">
        <v>4413.5370114009111</v>
      </c>
      <c r="F25" s="142">
        <v>194.11180818503192</v>
      </c>
      <c r="G25" s="142">
        <v>16.353318734935002</v>
      </c>
      <c r="H25" s="142">
        <v>123.16397992768898</v>
      </c>
      <c r="I25" s="142">
        <v>245.70951250041929</v>
      </c>
      <c r="J25" s="142">
        <v>42.483201044115965</v>
      </c>
      <c r="K25" s="142">
        <v>955.15624795731276</v>
      </c>
      <c r="L25" s="142">
        <v>529.51234671600059</v>
      </c>
      <c r="M25" s="142">
        <v>45.431512896199969</v>
      </c>
      <c r="N25" s="142">
        <v>1226.6515041012008</v>
      </c>
      <c r="O25" s="142">
        <v>0.22143819844399998</v>
      </c>
      <c r="P25" s="142">
        <v>96.074975101744769</v>
      </c>
      <c r="Q25" s="142">
        <v>81.015113115752015</v>
      </c>
      <c r="R25" s="142">
        <v>244.86713148307982</v>
      </c>
      <c r="S25" s="142">
        <v>940.08466100308181</v>
      </c>
      <c r="T25" s="145">
        <v>9154.3737623659181</v>
      </c>
    </row>
    <row r="26" spans="1:20">
      <c r="A26" t="s">
        <v>46</v>
      </c>
      <c r="B26" t="s">
        <v>392</v>
      </c>
      <c r="C26">
        <v>2045</v>
      </c>
      <c r="D26" t="s">
        <v>376</v>
      </c>
      <c r="E26" s="142">
        <v>4317.8556807390087</v>
      </c>
      <c r="F26" s="142">
        <v>191.60914182657592</v>
      </c>
      <c r="G26" s="142">
        <v>18.180960214732984</v>
      </c>
      <c r="H26" s="142">
        <v>122.32555271931113</v>
      </c>
      <c r="I26" s="142">
        <v>146.35202137787093</v>
      </c>
      <c r="J26" s="142">
        <v>42.532623384769977</v>
      </c>
      <c r="K26" s="142">
        <v>962.20357068447981</v>
      </c>
      <c r="L26" s="142">
        <v>555.47461951400021</v>
      </c>
      <c r="M26" s="142">
        <v>45.546752327699998</v>
      </c>
      <c r="N26" s="142">
        <v>1294.6891309632015</v>
      </c>
      <c r="O26" s="142">
        <v>0.24586080140000002</v>
      </c>
      <c r="P26" s="142">
        <v>88.175353121115961</v>
      </c>
      <c r="Q26" s="142">
        <v>39.909072654000013</v>
      </c>
      <c r="R26" s="142">
        <v>1107.9094795060798</v>
      </c>
      <c r="S26" s="142">
        <v>435.78885742499989</v>
      </c>
      <c r="T26" s="145">
        <v>9368.7986772592467</v>
      </c>
    </row>
    <row r="27" spans="1:20">
      <c r="A27" t="s">
        <v>48</v>
      </c>
      <c r="B27" t="s">
        <v>392</v>
      </c>
      <c r="C27">
        <v>2045</v>
      </c>
      <c r="D27" t="s">
        <v>376</v>
      </c>
      <c r="E27" s="142">
        <v>4014.7535293460155</v>
      </c>
      <c r="F27" s="142">
        <v>182.92528073387984</v>
      </c>
      <c r="G27" s="142">
        <v>17.149255345482999</v>
      </c>
      <c r="H27" s="142">
        <v>124.59523315152411</v>
      </c>
      <c r="I27" s="142">
        <v>144.7022811556221</v>
      </c>
      <c r="J27" s="142">
        <v>41.691294775273008</v>
      </c>
      <c r="K27" s="142">
        <v>935.29124030132209</v>
      </c>
      <c r="L27" s="142">
        <v>559.70296546599991</v>
      </c>
      <c r="M27" s="142">
        <v>45.546752327699998</v>
      </c>
      <c r="N27" s="142">
        <v>1249.8923247462005</v>
      </c>
      <c r="O27" s="142">
        <v>0.19144856463799997</v>
      </c>
      <c r="P27" s="142">
        <v>99.777505050364184</v>
      </c>
      <c r="Q27" s="142">
        <v>39.909072654000013</v>
      </c>
      <c r="R27" s="142">
        <v>1493.6417290542799</v>
      </c>
      <c r="S27" s="142">
        <v>435.78885742499989</v>
      </c>
      <c r="T27" s="145">
        <v>9385.558770097301</v>
      </c>
    </row>
    <row r="28" spans="1:20">
      <c r="A28" t="s">
        <v>50</v>
      </c>
      <c r="B28" t="s">
        <v>392</v>
      </c>
      <c r="C28">
        <v>2045</v>
      </c>
      <c r="D28" t="s">
        <v>376</v>
      </c>
      <c r="E28" s="142">
        <v>3800.1225329880153</v>
      </c>
      <c r="F28" s="142">
        <v>193.62023153088009</v>
      </c>
      <c r="G28" s="142">
        <v>17.149255345482999</v>
      </c>
      <c r="H28" s="142">
        <v>124.59523315152411</v>
      </c>
      <c r="I28" s="142">
        <v>144.7022811556221</v>
      </c>
      <c r="J28" s="142">
        <v>41.691294775273008</v>
      </c>
      <c r="K28" s="142">
        <v>816.32390348632157</v>
      </c>
      <c r="L28" s="142">
        <v>559.70296546599991</v>
      </c>
      <c r="M28" s="142">
        <v>45.546752327699998</v>
      </c>
      <c r="N28" s="142">
        <v>1249.8923247462005</v>
      </c>
      <c r="O28" s="142">
        <v>0.19144856463799997</v>
      </c>
      <c r="P28" s="142">
        <v>99.777505050364184</v>
      </c>
      <c r="Q28" s="142">
        <v>39.909072654000013</v>
      </c>
      <c r="R28" s="142">
        <v>1816.4533452052781</v>
      </c>
      <c r="S28" s="142">
        <v>577.18884943000012</v>
      </c>
      <c r="T28" s="145">
        <v>9526.8669958773007</v>
      </c>
    </row>
    <row r="29" spans="1:20">
      <c r="A29" s="138" t="s">
        <v>52</v>
      </c>
      <c r="B29" s="138" t="s">
        <v>392</v>
      </c>
      <c r="C29" s="138">
        <v>2045</v>
      </c>
      <c r="D29" s="138" t="s">
        <v>376</v>
      </c>
      <c r="E29" s="143">
        <v>3696.0069014659957</v>
      </c>
      <c r="F29" s="143">
        <v>190.93035164988012</v>
      </c>
      <c r="G29" s="143">
        <v>17.107844411483004</v>
      </c>
      <c r="H29" s="143">
        <v>269.12083312352394</v>
      </c>
      <c r="I29" s="143">
        <v>144.7022811556221</v>
      </c>
      <c r="J29" s="143">
        <v>41.691294775273008</v>
      </c>
      <c r="K29" s="143">
        <v>665.70391194332069</v>
      </c>
      <c r="L29" s="143">
        <v>519.20670854100001</v>
      </c>
      <c r="M29" s="143">
        <v>36.614244820700037</v>
      </c>
      <c r="N29" s="143">
        <v>1023.9927847352004</v>
      </c>
      <c r="O29" s="143">
        <v>0.19144856463799997</v>
      </c>
      <c r="P29" s="143">
        <v>99.777505050364184</v>
      </c>
      <c r="Q29" s="143">
        <v>39.909072654000013</v>
      </c>
      <c r="R29" s="143">
        <v>2256.729929471202</v>
      </c>
      <c r="S29" s="143">
        <v>577.18884943000012</v>
      </c>
      <c r="T29" s="146">
        <v>9578.873961792202</v>
      </c>
    </row>
    <row r="30" spans="1:20">
      <c r="A30" t="s">
        <v>44</v>
      </c>
      <c r="B30" t="s">
        <v>392</v>
      </c>
      <c r="C30">
        <v>2050</v>
      </c>
      <c r="D30" t="s">
        <v>376</v>
      </c>
      <c r="E30" s="142">
        <v>4458.7278060800973</v>
      </c>
      <c r="F30" s="142">
        <v>8.9232027184585585E-16</v>
      </c>
      <c r="G30" s="142">
        <v>0.79210549041700051</v>
      </c>
      <c r="H30" s="142">
        <v>-3.199598922647737E-16</v>
      </c>
      <c r="I30" s="142">
        <v>-6.4158502119447507E-15</v>
      </c>
      <c r="J30" s="142">
        <v>-1.5824956804296299E-16</v>
      </c>
      <c r="K30" s="142">
        <v>785.47150366180313</v>
      </c>
      <c r="L30" s="142">
        <v>494.48952331100026</v>
      </c>
      <c r="M30" s="142">
        <v>41.024109083640028</v>
      </c>
      <c r="N30" s="142">
        <v>1178.0682045402014</v>
      </c>
      <c r="O30" s="142">
        <v>0.14480775200000001</v>
      </c>
      <c r="P30" s="142">
        <v>169.85211632632272</v>
      </c>
      <c r="Q30" s="142">
        <v>0</v>
      </c>
      <c r="R30" s="142">
        <v>292.47431716625994</v>
      </c>
      <c r="S30" s="142">
        <v>1441.7425736410219</v>
      </c>
      <c r="T30" s="145">
        <v>8862.7870670527645</v>
      </c>
    </row>
    <row r="31" spans="1:20">
      <c r="A31" t="s">
        <v>46</v>
      </c>
      <c r="B31" t="s">
        <v>392</v>
      </c>
      <c r="C31">
        <v>2050</v>
      </c>
      <c r="D31" t="s">
        <v>376</v>
      </c>
      <c r="E31" s="142">
        <v>4352.970106035702</v>
      </c>
      <c r="F31" s="142">
        <v>7.9716580526603748E-16</v>
      </c>
      <c r="G31" s="142">
        <v>0.82488822226699943</v>
      </c>
      <c r="H31" s="142">
        <v>-3.2326421183938035E-16</v>
      </c>
      <c r="I31" s="142">
        <v>1.5394853462500059E-15</v>
      </c>
      <c r="J31" s="142">
        <v>-1.1822813664908053E-16</v>
      </c>
      <c r="K31" s="142">
        <v>794.02341777957122</v>
      </c>
      <c r="L31" s="142">
        <v>520.96910258999992</v>
      </c>
      <c r="M31" s="142">
        <v>41.113030054100022</v>
      </c>
      <c r="N31" s="142">
        <v>1256.551095693201</v>
      </c>
      <c r="O31" s="142">
        <v>0.15190277880000003</v>
      </c>
      <c r="P31" s="142">
        <v>152.29109782745579</v>
      </c>
      <c r="Q31" s="142">
        <v>0</v>
      </c>
      <c r="R31" s="142">
        <v>1419.6964171592604</v>
      </c>
      <c r="S31" s="142">
        <v>586.78028416023835</v>
      </c>
      <c r="T31" s="145">
        <v>9125.3713423005956</v>
      </c>
    </row>
    <row r="32" spans="1:20">
      <c r="A32" t="s">
        <v>48</v>
      </c>
      <c r="B32" t="s">
        <v>392</v>
      </c>
      <c r="C32">
        <v>2050</v>
      </c>
      <c r="D32" t="s">
        <v>376</v>
      </c>
      <c r="E32" s="142">
        <v>4017.3606021607052</v>
      </c>
      <c r="F32" s="142">
        <v>3.899127410069388E-16</v>
      </c>
      <c r="G32" s="142">
        <v>0.72222430413500072</v>
      </c>
      <c r="H32" s="142">
        <v>-3.4143420551773704E-16</v>
      </c>
      <c r="I32" s="142">
        <v>1.5104359178812787E-15</v>
      </c>
      <c r="J32" s="142">
        <v>-1.7256170652927271E-16</v>
      </c>
      <c r="K32" s="142">
        <v>778.17704403647213</v>
      </c>
      <c r="L32" s="142">
        <v>522.118441211</v>
      </c>
      <c r="M32" s="142">
        <v>41.113030054100022</v>
      </c>
      <c r="N32" s="142">
        <v>1220.5638173742007</v>
      </c>
      <c r="O32" s="142">
        <v>0.11151113083</v>
      </c>
      <c r="P32" s="142">
        <v>159.5327773045978</v>
      </c>
      <c r="Q32" s="142">
        <v>0</v>
      </c>
      <c r="R32" s="142">
        <v>1822.8766082390612</v>
      </c>
      <c r="S32" s="142">
        <v>579.70757738082102</v>
      </c>
      <c r="T32" s="145">
        <v>9142.2836331959224</v>
      </c>
    </row>
    <row r="33" spans="1:20">
      <c r="A33" t="s">
        <v>50</v>
      </c>
      <c r="B33" t="s">
        <v>392</v>
      </c>
      <c r="C33">
        <v>2050</v>
      </c>
      <c r="D33" t="s">
        <v>376</v>
      </c>
      <c r="E33" s="142">
        <v>3770.8432367017053</v>
      </c>
      <c r="F33" s="142">
        <v>-1.7768064881637933E-16</v>
      </c>
      <c r="G33" s="142">
        <v>0.72222430413500072</v>
      </c>
      <c r="H33" s="142">
        <v>-3.4143420551773704E-16</v>
      </c>
      <c r="I33" s="142">
        <v>1.5104359178812787E-15</v>
      </c>
      <c r="J33" s="142">
        <v>-1.7256170652927271E-16</v>
      </c>
      <c r="K33" s="142">
        <v>658.71044933847088</v>
      </c>
      <c r="L33" s="142">
        <v>522.118441211</v>
      </c>
      <c r="M33" s="142">
        <v>41.113030054100022</v>
      </c>
      <c r="N33" s="142">
        <v>1220.5638173742007</v>
      </c>
      <c r="O33" s="142">
        <v>0.11151113083</v>
      </c>
      <c r="P33" s="142">
        <v>159.5327773045978</v>
      </c>
      <c r="Q33" s="142">
        <v>0</v>
      </c>
      <c r="R33" s="142">
        <v>2213.7684448220607</v>
      </c>
      <c r="S33" s="142">
        <v>693.65660851882069</v>
      </c>
      <c r="T33" s="145">
        <v>9281.1405407599195</v>
      </c>
    </row>
    <row r="34" spans="1:20">
      <c r="A34" s="138" t="s">
        <v>52</v>
      </c>
      <c r="B34" s="138" t="s">
        <v>392</v>
      </c>
      <c r="C34" s="138">
        <v>2050</v>
      </c>
      <c r="D34" s="138" t="s">
        <v>376</v>
      </c>
      <c r="E34" s="143">
        <v>3687.5946291597093</v>
      </c>
      <c r="F34" s="143">
        <v>-1.4785026599645101E-16</v>
      </c>
      <c r="G34" s="143">
        <v>0.69155790313500054</v>
      </c>
      <c r="H34" s="143">
        <v>-1.7639195332760476E-16</v>
      </c>
      <c r="I34" s="143">
        <v>1.5104359178812787E-15</v>
      </c>
      <c r="J34" s="143">
        <v>-1.7256170652927271E-16</v>
      </c>
      <c r="K34" s="143">
        <v>512.00510117847057</v>
      </c>
      <c r="L34" s="143">
        <v>487.996305366</v>
      </c>
      <c r="M34" s="143">
        <v>31.692826286099994</v>
      </c>
      <c r="N34" s="143">
        <v>1049.6843294552011</v>
      </c>
      <c r="O34" s="143">
        <v>0.11151113083</v>
      </c>
      <c r="P34" s="143">
        <v>142.00153991559782</v>
      </c>
      <c r="Q34" s="143">
        <v>0</v>
      </c>
      <c r="R34" s="143">
        <v>2717.0261963018984</v>
      </c>
      <c r="S34" s="143">
        <v>692.87055766982007</v>
      </c>
      <c r="T34" s="146">
        <v>9321.6745543667621</v>
      </c>
    </row>
  </sheetData>
  <mergeCells count="1">
    <mergeCell ref="E3:S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EA73-8808-4A2A-A3DA-FA0E2E4A8116}">
  <sheetPr>
    <tabColor theme="9" tint="0.79998168889431442"/>
  </sheetPr>
  <dimension ref="C2:O97"/>
  <sheetViews>
    <sheetView showGridLines="0" workbookViewId="0">
      <selection activeCell="C2" sqref="C2:H2"/>
    </sheetView>
  </sheetViews>
  <sheetFormatPr defaultColWidth="11.42578125" defaultRowHeight="15"/>
  <sheetData>
    <row r="2" spans="3:15" ht="15.75" thickBot="1">
      <c r="C2" s="223" t="s">
        <v>393</v>
      </c>
      <c r="D2" s="223"/>
      <c r="E2" s="223"/>
      <c r="F2" s="223"/>
      <c r="G2" s="223"/>
      <c r="H2" s="223"/>
      <c r="J2" s="223" t="s">
        <v>394</v>
      </c>
      <c r="K2" s="223"/>
      <c r="L2" s="223"/>
      <c r="M2" s="223"/>
      <c r="N2" s="223"/>
      <c r="O2" s="223"/>
    </row>
    <row r="3" spans="3:15" ht="15.75" thickBot="1">
      <c r="C3" s="152" t="s">
        <v>395</v>
      </c>
      <c r="D3" s="153" t="s">
        <v>396</v>
      </c>
      <c r="E3" s="153" t="s">
        <v>397</v>
      </c>
      <c r="F3" s="153" t="s">
        <v>398</v>
      </c>
      <c r="G3" s="153" t="s">
        <v>399</v>
      </c>
      <c r="H3" s="153" t="s">
        <v>400</v>
      </c>
      <c r="J3" s="152" t="s">
        <v>395</v>
      </c>
      <c r="K3" s="153" t="s">
        <v>396</v>
      </c>
      <c r="L3" s="153" t="s">
        <v>397</v>
      </c>
      <c r="M3" s="153" t="s">
        <v>398</v>
      </c>
      <c r="N3" s="153" t="s">
        <v>399</v>
      </c>
      <c r="O3" s="153" t="s">
        <v>400</v>
      </c>
    </row>
    <row r="4" spans="3:15" ht="15.75" thickBot="1">
      <c r="C4" s="154" t="s">
        <v>100</v>
      </c>
      <c r="D4" s="155" t="s">
        <v>110</v>
      </c>
      <c r="E4" s="156">
        <v>0.16</v>
      </c>
      <c r="F4" s="156">
        <v>0.28000000000000003</v>
      </c>
      <c r="G4" s="156">
        <v>1.72</v>
      </c>
      <c r="H4" s="156">
        <v>1.1599999999999999</v>
      </c>
      <c r="J4" s="154" t="s">
        <v>100</v>
      </c>
      <c r="K4" s="155" t="s">
        <v>102</v>
      </c>
      <c r="L4" s="156">
        <v>0.23</v>
      </c>
      <c r="M4" s="156">
        <v>0.6</v>
      </c>
      <c r="N4" s="156">
        <v>0</v>
      </c>
      <c r="O4" s="156">
        <v>0</v>
      </c>
    </row>
    <row r="5" spans="3:15" ht="15.75" thickBot="1">
      <c r="C5" s="154" t="s">
        <v>100</v>
      </c>
      <c r="D5" s="155" t="s">
        <v>122</v>
      </c>
      <c r="E5" s="156">
        <v>0.5</v>
      </c>
      <c r="F5" s="156">
        <v>0.83</v>
      </c>
      <c r="G5" s="156">
        <v>3.39</v>
      </c>
      <c r="H5" s="156">
        <v>2.83</v>
      </c>
      <c r="J5" s="154" t="s">
        <v>100</v>
      </c>
      <c r="K5" s="155" t="s">
        <v>108</v>
      </c>
      <c r="L5" s="156">
        <v>0.67</v>
      </c>
      <c r="M5" s="156">
        <v>0</v>
      </c>
      <c r="N5" s="156">
        <v>0</v>
      </c>
      <c r="O5" s="156">
        <v>0</v>
      </c>
    </row>
    <row r="6" spans="3:15" ht="15.75" thickBot="1">
      <c r="C6" s="154" t="s">
        <v>102</v>
      </c>
      <c r="D6" s="155" t="s">
        <v>110</v>
      </c>
      <c r="E6" s="156">
        <v>0.28999999999999998</v>
      </c>
      <c r="F6" s="156">
        <v>0.38</v>
      </c>
      <c r="G6" s="156">
        <v>0</v>
      </c>
      <c r="H6" s="156">
        <v>0.04</v>
      </c>
      <c r="J6" s="154" t="s">
        <v>100</v>
      </c>
      <c r="K6" s="155" t="s">
        <v>110</v>
      </c>
      <c r="L6" s="156">
        <v>0.69</v>
      </c>
      <c r="M6" s="156">
        <v>4.82</v>
      </c>
      <c r="N6" s="156">
        <v>6.4</v>
      </c>
      <c r="O6" s="156">
        <v>9.1</v>
      </c>
    </row>
    <row r="7" spans="3:15" ht="15.75" thickBot="1">
      <c r="C7" s="154" t="s">
        <v>102</v>
      </c>
      <c r="D7" s="155" t="s">
        <v>122</v>
      </c>
      <c r="E7" s="156">
        <v>0.64</v>
      </c>
      <c r="F7" s="156">
        <v>0.95</v>
      </c>
      <c r="G7" s="156">
        <v>3.92</v>
      </c>
      <c r="H7" s="156">
        <v>3.8</v>
      </c>
      <c r="J7" s="154" t="s">
        <v>100</v>
      </c>
      <c r="K7" s="155" t="s">
        <v>386</v>
      </c>
      <c r="L7" s="156">
        <v>0.36</v>
      </c>
      <c r="M7" s="156">
        <v>0</v>
      </c>
      <c r="N7" s="156">
        <v>0</v>
      </c>
      <c r="O7" s="156">
        <v>0</v>
      </c>
    </row>
    <row r="8" spans="3:15" ht="15.75" thickBot="1">
      <c r="C8" s="154" t="s">
        <v>104</v>
      </c>
      <c r="D8" s="155" t="s">
        <v>116</v>
      </c>
      <c r="E8" s="156">
        <v>0</v>
      </c>
      <c r="F8" s="156">
        <v>0</v>
      </c>
      <c r="G8" s="156">
        <v>0.02</v>
      </c>
      <c r="H8" s="156">
        <v>0.14000000000000001</v>
      </c>
      <c r="J8" s="154" t="s">
        <v>100</v>
      </c>
      <c r="K8" s="155" t="s">
        <v>122</v>
      </c>
      <c r="L8" s="156">
        <v>1.18</v>
      </c>
      <c r="M8" s="156">
        <v>7.05</v>
      </c>
      <c r="N8" s="156">
        <v>12.6</v>
      </c>
      <c r="O8" s="156">
        <v>15.43</v>
      </c>
    </row>
    <row r="9" spans="3:15" ht="15.75" thickBot="1">
      <c r="C9" s="154" t="s">
        <v>104</v>
      </c>
      <c r="D9" s="155" t="s">
        <v>128</v>
      </c>
      <c r="E9" s="156">
        <v>0.36</v>
      </c>
      <c r="F9" s="156">
        <v>1.39</v>
      </c>
      <c r="G9" s="156">
        <v>3.06</v>
      </c>
      <c r="H9" s="156">
        <v>3.64</v>
      </c>
      <c r="J9" s="154" t="s">
        <v>102</v>
      </c>
      <c r="K9" s="155" t="s">
        <v>100</v>
      </c>
      <c r="L9" s="156">
        <v>0.23</v>
      </c>
      <c r="M9" s="156">
        <v>0.6</v>
      </c>
      <c r="N9" s="156">
        <v>0</v>
      </c>
      <c r="O9" s="156">
        <v>0</v>
      </c>
    </row>
    <row r="10" spans="3:15" ht="15.75" thickBot="1">
      <c r="C10" s="154" t="s">
        <v>106</v>
      </c>
      <c r="D10" s="155" t="s">
        <v>383</v>
      </c>
      <c r="E10" s="156">
        <v>0</v>
      </c>
      <c r="F10" s="156">
        <v>0</v>
      </c>
      <c r="G10" s="156">
        <v>0.14000000000000001</v>
      </c>
      <c r="H10" s="156">
        <v>0.4</v>
      </c>
      <c r="J10" s="154" t="s">
        <v>102</v>
      </c>
      <c r="K10" s="155" t="s">
        <v>110</v>
      </c>
      <c r="L10" s="156">
        <v>0.85</v>
      </c>
      <c r="M10" s="156">
        <v>2.2400000000000002</v>
      </c>
      <c r="N10" s="156">
        <v>2.0299999999999998</v>
      </c>
      <c r="O10" s="156">
        <v>6.55</v>
      </c>
    </row>
    <row r="11" spans="3:15" ht="15.75" thickBot="1">
      <c r="C11" s="154" t="s">
        <v>106</v>
      </c>
      <c r="D11" s="155" t="s">
        <v>386</v>
      </c>
      <c r="E11" s="156">
        <v>0.01</v>
      </c>
      <c r="F11" s="156">
        <v>0.46</v>
      </c>
      <c r="G11" s="156">
        <v>1.55</v>
      </c>
      <c r="H11" s="156">
        <v>0.78</v>
      </c>
      <c r="J11" s="154" t="s">
        <v>102</v>
      </c>
      <c r="K11" s="155" t="s">
        <v>122</v>
      </c>
      <c r="L11" s="156">
        <v>4.2</v>
      </c>
      <c r="M11" s="156">
        <v>7.6</v>
      </c>
      <c r="N11" s="156">
        <v>14.8</v>
      </c>
      <c r="O11" s="156">
        <v>18.43</v>
      </c>
    </row>
    <row r="12" spans="3:15" ht="15.75" thickBot="1">
      <c r="C12" s="154" t="s">
        <v>106</v>
      </c>
      <c r="D12" s="155" t="s">
        <v>118</v>
      </c>
      <c r="E12" s="156">
        <v>1.1000000000000001</v>
      </c>
      <c r="F12" s="156">
        <v>2.64</v>
      </c>
      <c r="G12" s="156">
        <v>6.59</v>
      </c>
      <c r="H12" s="156">
        <v>5.61</v>
      </c>
      <c r="J12" s="154" t="s">
        <v>104</v>
      </c>
      <c r="K12" s="155" t="s">
        <v>116</v>
      </c>
      <c r="L12" s="156">
        <v>0</v>
      </c>
      <c r="M12" s="156">
        <v>0.88</v>
      </c>
      <c r="N12" s="156">
        <v>1.81</v>
      </c>
      <c r="O12" s="156">
        <v>1.53</v>
      </c>
    </row>
    <row r="13" spans="3:15" ht="15.75" thickBot="1">
      <c r="C13" s="154" t="s">
        <v>106</v>
      </c>
      <c r="D13" s="155" t="s">
        <v>124</v>
      </c>
      <c r="E13" s="156">
        <v>10.56</v>
      </c>
      <c r="F13" s="156">
        <v>7.48</v>
      </c>
      <c r="G13" s="156">
        <v>5.49</v>
      </c>
      <c r="H13" s="156">
        <v>3.52</v>
      </c>
      <c r="J13" s="154" t="s">
        <v>104</v>
      </c>
      <c r="K13" s="155" t="s">
        <v>128</v>
      </c>
      <c r="L13" s="156">
        <v>0.91</v>
      </c>
      <c r="M13" s="156">
        <v>4.42</v>
      </c>
      <c r="N13" s="156">
        <v>7.42</v>
      </c>
      <c r="O13" s="156">
        <v>11.66</v>
      </c>
    </row>
    <row r="14" spans="3:15" ht="15.75" thickBot="1">
      <c r="C14" s="154" t="s">
        <v>106</v>
      </c>
      <c r="D14" s="155" t="s">
        <v>132</v>
      </c>
      <c r="E14" s="156">
        <v>9.86</v>
      </c>
      <c r="F14" s="156">
        <v>8.09</v>
      </c>
      <c r="G14" s="156">
        <v>6.7</v>
      </c>
      <c r="H14" s="156">
        <v>7</v>
      </c>
      <c r="J14" s="154" t="s">
        <v>106</v>
      </c>
      <c r="K14" s="155" t="s">
        <v>383</v>
      </c>
      <c r="L14" s="156">
        <v>0</v>
      </c>
      <c r="M14" s="156">
        <v>0.82</v>
      </c>
      <c r="N14" s="156">
        <v>0.14000000000000001</v>
      </c>
      <c r="O14" s="156">
        <v>1.35</v>
      </c>
    </row>
    <row r="15" spans="3:15" ht="15.75" thickBot="1">
      <c r="C15" s="154" t="s">
        <v>108</v>
      </c>
      <c r="D15" s="155" t="s">
        <v>386</v>
      </c>
      <c r="E15" s="156">
        <v>0.45</v>
      </c>
      <c r="F15" s="156">
        <v>0.7</v>
      </c>
      <c r="G15" s="156">
        <v>4.24</v>
      </c>
      <c r="H15" s="156">
        <v>3.96</v>
      </c>
      <c r="J15" s="154" t="s">
        <v>106</v>
      </c>
      <c r="K15" s="155" t="s">
        <v>386</v>
      </c>
      <c r="L15" s="156">
        <v>0.26</v>
      </c>
      <c r="M15" s="156">
        <v>0.46</v>
      </c>
      <c r="N15" s="156">
        <v>2.99</v>
      </c>
      <c r="O15" s="156">
        <v>0.78</v>
      </c>
    </row>
    <row r="16" spans="3:15" ht="15.75" thickBot="1">
      <c r="C16" s="154" t="s">
        <v>108</v>
      </c>
      <c r="D16" s="155" t="s">
        <v>118</v>
      </c>
      <c r="E16" s="156">
        <v>0.78</v>
      </c>
      <c r="F16" s="156">
        <v>0.54</v>
      </c>
      <c r="G16" s="156">
        <v>0.02</v>
      </c>
      <c r="H16" s="156">
        <v>0</v>
      </c>
      <c r="J16" s="154" t="s">
        <v>106</v>
      </c>
      <c r="K16" s="155" t="s">
        <v>118</v>
      </c>
      <c r="L16" s="156">
        <v>1.1000000000000001</v>
      </c>
      <c r="M16" s="156">
        <v>8.4</v>
      </c>
      <c r="N16" s="156">
        <v>15.12</v>
      </c>
      <c r="O16" s="156">
        <v>31.09</v>
      </c>
    </row>
    <row r="17" spans="3:15" ht="15.75" thickBot="1">
      <c r="C17" s="154" t="s">
        <v>108</v>
      </c>
      <c r="D17" s="155" t="s">
        <v>122</v>
      </c>
      <c r="E17" s="156">
        <v>0</v>
      </c>
      <c r="F17" s="156">
        <v>1.24</v>
      </c>
      <c r="G17" s="156">
        <v>4.76</v>
      </c>
      <c r="H17" s="156">
        <v>5.57</v>
      </c>
      <c r="J17" s="154" t="s">
        <v>106</v>
      </c>
      <c r="K17" s="155" t="s">
        <v>124</v>
      </c>
      <c r="L17" s="156">
        <v>20.73</v>
      </c>
      <c r="M17" s="156">
        <v>12.77</v>
      </c>
      <c r="N17" s="156">
        <v>12.23</v>
      </c>
      <c r="O17" s="156">
        <v>9.6199999999999992</v>
      </c>
    </row>
    <row r="18" spans="3:15" ht="15.75" thickBot="1">
      <c r="C18" s="154" t="s">
        <v>110</v>
      </c>
      <c r="D18" s="155" t="s">
        <v>100</v>
      </c>
      <c r="E18" s="156">
        <v>0.16</v>
      </c>
      <c r="F18" s="156">
        <v>0.28000000000000003</v>
      </c>
      <c r="G18" s="156">
        <v>1.72</v>
      </c>
      <c r="H18" s="156">
        <v>1.1599999999999999</v>
      </c>
      <c r="J18" s="154" t="s">
        <v>106</v>
      </c>
      <c r="K18" s="155" t="s">
        <v>132</v>
      </c>
      <c r="L18" s="156">
        <v>14.83</v>
      </c>
      <c r="M18" s="156">
        <v>26.31</v>
      </c>
      <c r="N18" s="156">
        <v>35.22</v>
      </c>
      <c r="O18" s="156">
        <v>18.75</v>
      </c>
    </row>
    <row r="19" spans="3:15" ht="15.75" thickBot="1">
      <c r="C19" s="154" t="s">
        <v>110</v>
      </c>
      <c r="D19" s="155" t="s">
        <v>102</v>
      </c>
      <c r="E19" s="156">
        <v>0.28999999999999998</v>
      </c>
      <c r="F19" s="156">
        <v>0.38</v>
      </c>
      <c r="G19" s="156">
        <v>0</v>
      </c>
      <c r="H19" s="156">
        <v>0.04</v>
      </c>
      <c r="J19" s="154" t="s">
        <v>108</v>
      </c>
      <c r="K19" s="155" t="s">
        <v>100</v>
      </c>
      <c r="L19" s="156">
        <v>0.67</v>
      </c>
      <c r="M19" s="156">
        <v>0</v>
      </c>
      <c r="N19" s="156">
        <v>0</v>
      </c>
      <c r="O19" s="156">
        <v>0</v>
      </c>
    </row>
    <row r="20" spans="3:15" ht="15.75" thickBot="1">
      <c r="C20" s="154" t="s">
        <v>110</v>
      </c>
      <c r="D20" s="155" t="s">
        <v>385</v>
      </c>
      <c r="E20" s="156">
        <v>0.28999999999999998</v>
      </c>
      <c r="F20" s="156">
        <v>0.63</v>
      </c>
      <c r="G20" s="156">
        <v>2.6</v>
      </c>
      <c r="H20" s="156">
        <v>3</v>
      </c>
      <c r="J20" s="154" t="s">
        <v>108</v>
      </c>
      <c r="K20" s="155" t="s">
        <v>386</v>
      </c>
      <c r="L20" s="156">
        <v>1.01</v>
      </c>
      <c r="M20" s="156">
        <v>10.39</v>
      </c>
      <c r="N20" s="156">
        <v>21.72</v>
      </c>
      <c r="O20" s="156">
        <v>52.13</v>
      </c>
    </row>
    <row r="21" spans="3:15" ht="15.75" thickBot="1">
      <c r="C21" s="154" t="s">
        <v>110</v>
      </c>
      <c r="D21" s="155" t="s">
        <v>128</v>
      </c>
      <c r="E21" s="156">
        <v>0.15</v>
      </c>
      <c r="F21" s="156">
        <v>0.12</v>
      </c>
      <c r="G21" s="156">
        <v>0.34</v>
      </c>
      <c r="H21" s="156">
        <v>0.4</v>
      </c>
      <c r="J21" s="154" t="s">
        <v>108</v>
      </c>
      <c r="K21" s="155" t="s">
        <v>118</v>
      </c>
      <c r="L21" s="156">
        <v>5.38</v>
      </c>
      <c r="M21" s="156">
        <v>16.02</v>
      </c>
      <c r="N21" s="156">
        <v>19.64</v>
      </c>
      <c r="O21" s="156">
        <v>19.989999999999998</v>
      </c>
    </row>
    <row r="22" spans="3:15" ht="15.75" thickBot="1">
      <c r="C22" s="154" t="s">
        <v>381</v>
      </c>
      <c r="D22" s="155" t="s">
        <v>383</v>
      </c>
      <c r="E22" s="156">
        <v>3.38</v>
      </c>
      <c r="F22" s="156">
        <v>3.72</v>
      </c>
      <c r="G22" s="156">
        <v>4.8499999999999996</v>
      </c>
      <c r="H22" s="156">
        <v>3.64</v>
      </c>
      <c r="J22" s="154" t="s">
        <v>108</v>
      </c>
      <c r="K22" s="155" t="s">
        <v>122</v>
      </c>
      <c r="L22" s="156">
        <v>2.0299999999999998</v>
      </c>
      <c r="M22" s="156">
        <v>14.84</v>
      </c>
      <c r="N22" s="156">
        <v>26.31</v>
      </c>
      <c r="O22" s="156">
        <v>59</v>
      </c>
    </row>
    <row r="23" spans="3:15" ht="15.75" thickBot="1">
      <c r="C23" s="154" t="s">
        <v>381</v>
      </c>
      <c r="D23" s="155" t="s">
        <v>384</v>
      </c>
      <c r="E23" s="156">
        <v>2.08</v>
      </c>
      <c r="F23" s="156">
        <v>2.86</v>
      </c>
      <c r="G23" s="156">
        <v>6.64</v>
      </c>
      <c r="H23" s="156">
        <v>7.72</v>
      </c>
      <c r="J23" s="154" t="s">
        <v>110</v>
      </c>
      <c r="K23" s="155" t="s">
        <v>100</v>
      </c>
      <c r="L23" s="156">
        <v>0.69</v>
      </c>
      <c r="M23" s="156">
        <v>4.82</v>
      </c>
      <c r="N23" s="156">
        <v>6.4</v>
      </c>
      <c r="O23" s="156">
        <v>9.1</v>
      </c>
    </row>
    <row r="24" spans="3:15" ht="15.75" thickBot="1">
      <c r="C24" s="154" t="s">
        <v>381</v>
      </c>
      <c r="D24" s="155" t="s">
        <v>114</v>
      </c>
      <c r="E24" s="156">
        <v>0</v>
      </c>
      <c r="F24" s="156">
        <v>2.12</v>
      </c>
      <c r="G24" s="156">
        <v>3.87</v>
      </c>
      <c r="H24" s="156">
        <v>3.97</v>
      </c>
      <c r="J24" s="154" t="s">
        <v>110</v>
      </c>
      <c r="K24" s="155" t="s">
        <v>102</v>
      </c>
      <c r="L24" s="156">
        <v>0.85</v>
      </c>
      <c r="M24" s="156">
        <v>2.2400000000000002</v>
      </c>
      <c r="N24" s="156">
        <v>2.0299999999999998</v>
      </c>
      <c r="O24" s="156">
        <v>6.55</v>
      </c>
    </row>
    <row r="25" spans="3:15" ht="15.75" thickBot="1">
      <c r="C25" s="154" t="s">
        <v>381</v>
      </c>
      <c r="D25" s="155" t="s">
        <v>126</v>
      </c>
      <c r="E25" s="156">
        <v>0</v>
      </c>
      <c r="F25" s="156">
        <v>0</v>
      </c>
      <c r="G25" s="156">
        <v>1.26</v>
      </c>
      <c r="H25" s="156">
        <v>0.63</v>
      </c>
      <c r="J25" s="154" t="s">
        <v>110</v>
      </c>
      <c r="K25" s="155" t="s">
        <v>385</v>
      </c>
      <c r="L25" s="156">
        <v>3.26</v>
      </c>
      <c r="M25" s="156">
        <v>1.91</v>
      </c>
      <c r="N25" s="156">
        <v>3.09</v>
      </c>
      <c r="O25" s="156">
        <v>3.16</v>
      </c>
    </row>
    <row r="26" spans="3:15" ht="15.75" thickBot="1">
      <c r="C26" s="154" t="s">
        <v>382</v>
      </c>
      <c r="D26" s="155" t="s">
        <v>385</v>
      </c>
      <c r="E26" s="156">
        <v>0.64</v>
      </c>
      <c r="F26" s="156">
        <v>1.44</v>
      </c>
      <c r="G26" s="156">
        <v>4.8499999999999996</v>
      </c>
      <c r="H26" s="156">
        <v>5.39</v>
      </c>
      <c r="J26" s="154" t="s">
        <v>110</v>
      </c>
      <c r="K26" s="155" t="s">
        <v>386</v>
      </c>
      <c r="L26" s="156">
        <v>0</v>
      </c>
      <c r="M26" s="156">
        <v>2.3199999999999998</v>
      </c>
      <c r="N26" s="156">
        <v>0</v>
      </c>
      <c r="O26" s="156">
        <v>0</v>
      </c>
    </row>
    <row r="27" spans="3:15" ht="15.75" thickBot="1">
      <c r="C27" s="154" t="s">
        <v>382</v>
      </c>
      <c r="D27" s="155" t="s">
        <v>386</v>
      </c>
      <c r="E27" s="156">
        <v>0.03</v>
      </c>
      <c r="F27" s="156">
        <v>0.27</v>
      </c>
      <c r="G27" s="156">
        <v>0.44</v>
      </c>
      <c r="H27" s="156">
        <v>0.13</v>
      </c>
      <c r="J27" s="154" t="s">
        <v>110</v>
      </c>
      <c r="K27" s="155" t="s">
        <v>128</v>
      </c>
      <c r="L27" s="156">
        <v>1.65</v>
      </c>
      <c r="M27" s="156">
        <v>13.68</v>
      </c>
      <c r="N27" s="156">
        <v>15.65</v>
      </c>
      <c r="O27" s="156">
        <v>14.02</v>
      </c>
    </row>
    <row r="28" spans="3:15" ht="15.75" thickBot="1">
      <c r="C28" s="154" t="s">
        <v>382</v>
      </c>
      <c r="D28" s="155" t="s">
        <v>114</v>
      </c>
      <c r="E28" s="156">
        <v>0.24</v>
      </c>
      <c r="F28" s="156">
        <v>0</v>
      </c>
      <c r="G28" s="156">
        <v>2.37</v>
      </c>
      <c r="H28" s="156">
        <v>1.68</v>
      </c>
      <c r="J28" s="154" t="s">
        <v>381</v>
      </c>
      <c r="K28" s="155" t="s">
        <v>383</v>
      </c>
      <c r="L28" s="156">
        <v>10.52</v>
      </c>
      <c r="M28" s="156">
        <v>21.48</v>
      </c>
      <c r="N28" s="156">
        <v>28.01</v>
      </c>
      <c r="O28" s="156">
        <v>39.39</v>
      </c>
    </row>
    <row r="29" spans="3:15" ht="15.75" thickBot="1">
      <c r="C29" s="154" t="s">
        <v>383</v>
      </c>
      <c r="D29" s="155" t="s">
        <v>106</v>
      </c>
      <c r="E29" s="156">
        <v>0</v>
      </c>
      <c r="F29" s="156">
        <v>0</v>
      </c>
      <c r="G29" s="156">
        <v>0.14000000000000001</v>
      </c>
      <c r="H29" s="156">
        <v>0.4</v>
      </c>
      <c r="J29" s="154" t="s">
        <v>381</v>
      </c>
      <c r="K29" s="155" t="s">
        <v>384</v>
      </c>
      <c r="L29" s="156">
        <v>9.0500000000000007</v>
      </c>
      <c r="M29" s="156">
        <v>5.57</v>
      </c>
      <c r="N29" s="156">
        <v>9.6300000000000008</v>
      </c>
      <c r="O29" s="156">
        <v>10.25</v>
      </c>
    </row>
    <row r="30" spans="3:15" ht="15.75" thickBot="1">
      <c r="C30" s="154" t="s">
        <v>383</v>
      </c>
      <c r="D30" s="155" t="s">
        <v>381</v>
      </c>
      <c r="E30" s="156">
        <v>3.38</v>
      </c>
      <c r="F30" s="156">
        <v>3.72</v>
      </c>
      <c r="G30" s="156">
        <v>4.8499999999999996</v>
      </c>
      <c r="H30" s="156">
        <v>3.64</v>
      </c>
      <c r="J30" s="154" t="s">
        <v>381</v>
      </c>
      <c r="K30" s="155" t="s">
        <v>114</v>
      </c>
      <c r="L30" s="156">
        <v>0</v>
      </c>
      <c r="M30" s="156">
        <v>2.12</v>
      </c>
      <c r="N30" s="156">
        <v>3.87</v>
      </c>
      <c r="O30" s="156">
        <v>8.02</v>
      </c>
    </row>
    <row r="31" spans="3:15" ht="15.75" thickBot="1">
      <c r="C31" s="154" t="s">
        <v>383</v>
      </c>
      <c r="D31" s="155" t="s">
        <v>386</v>
      </c>
      <c r="E31" s="156">
        <v>0</v>
      </c>
      <c r="F31" s="156">
        <v>0</v>
      </c>
      <c r="G31" s="156">
        <v>0.54</v>
      </c>
      <c r="H31" s="156">
        <v>1.29</v>
      </c>
      <c r="J31" s="154" t="s">
        <v>381</v>
      </c>
      <c r="K31" s="155" t="s">
        <v>126</v>
      </c>
      <c r="L31" s="156">
        <v>0</v>
      </c>
      <c r="M31" s="156">
        <v>0</v>
      </c>
      <c r="N31" s="156">
        <v>1.26</v>
      </c>
      <c r="O31" s="156">
        <v>0.63</v>
      </c>
    </row>
    <row r="32" spans="3:15" ht="15.75" thickBot="1">
      <c r="C32" s="154" t="s">
        <v>383</v>
      </c>
      <c r="D32" s="155" t="s">
        <v>124</v>
      </c>
      <c r="E32" s="156">
        <v>1.24</v>
      </c>
      <c r="F32" s="156">
        <v>0.98</v>
      </c>
      <c r="G32" s="156">
        <v>2.63</v>
      </c>
      <c r="H32" s="156">
        <v>4.5999999999999996</v>
      </c>
      <c r="J32" s="154" t="s">
        <v>381</v>
      </c>
      <c r="K32" s="155" t="s">
        <v>130</v>
      </c>
      <c r="L32" s="156">
        <v>0</v>
      </c>
      <c r="M32" s="156">
        <v>0.54</v>
      </c>
      <c r="N32" s="156">
        <v>4.3099999999999996</v>
      </c>
      <c r="O32" s="156">
        <v>13.8</v>
      </c>
    </row>
    <row r="33" spans="3:15" ht="15.75" thickBot="1">
      <c r="C33" s="154" t="s">
        <v>384</v>
      </c>
      <c r="D33" s="155" t="s">
        <v>381</v>
      </c>
      <c r="E33" s="156">
        <v>2.08</v>
      </c>
      <c r="F33" s="156">
        <v>2.86</v>
      </c>
      <c r="G33" s="156">
        <v>6.64</v>
      </c>
      <c r="H33" s="156">
        <v>7.72</v>
      </c>
      <c r="J33" s="154" t="s">
        <v>382</v>
      </c>
      <c r="K33" s="155" t="s">
        <v>384</v>
      </c>
      <c r="L33" s="156">
        <v>0</v>
      </c>
      <c r="M33" s="156">
        <v>0.13</v>
      </c>
      <c r="N33" s="156">
        <v>0</v>
      </c>
      <c r="O33" s="156">
        <v>0</v>
      </c>
    </row>
    <row r="34" spans="3:15" ht="15.75" thickBot="1">
      <c r="C34" s="154" t="s">
        <v>384</v>
      </c>
      <c r="D34" s="155" t="s">
        <v>386</v>
      </c>
      <c r="E34" s="156">
        <v>0.01</v>
      </c>
      <c r="F34" s="156">
        <v>0.65</v>
      </c>
      <c r="G34" s="156">
        <v>4.7699999999999996</v>
      </c>
      <c r="H34" s="156">
        <v>5.87</v>
      </c>
      <c r="J34" s="154" t="s">
        <v>382</v>
      </c>
      <c r="K34" s="155" t="s">
        <v>385</v>
      </c>
      <c r="L34" s="156">
        <v>4.12</v>
      </c>
      <c r="M34" s="156">
        <v>5.13</v>
      </c>
      <c r="N34" s="156">
        <v>7.14</v>
      </c>
      <c r="O34" s="156">
        <v>7.44</v>
      </c>
    </row>
    <row r="35" spans="3:15" ht="15.75" thickBot="1">
      <c r="C35" s="154" t="s">
        <v>385</v>
      </c>
      <c r="D35" s="155" t="s">
        <v>110</v>
      </c>
      <c r="E35" s="156">
        <v>0.28999999999999998</v>
      </c>
      <c r="F35" s="156">
        <v>0.63</v>
      </c>
      <c r="G35" s="156">
        <v>2.6</v>
      </c>
      <c r="H35" s="156">
        <v>3</v>
      </c>
      <c r="J35" s="154" t="s">
        <v>382</v>
      </c>
      <c r="K35" s="155" t="s">
        <v>386</v>
      </c>
      <c r="L35" s="156">
        <v>0.93</v>
      </c>
      <c r="M35" s="156">
        <v>0.54</v>
      </c>
      <c r="N35" s="156">
        <v>0.44</v>
      </c>
      <c r="O35" s="156">
        <v>0.13</v>
      </c>
    </row>
    <row r="36" spans="3:15" ht="15.75" thickBot="1">
      <c r="C36" s="154" t="s">
        <v>385</v>
      </c>
      <c r="D36" s="155" t="s">
        <v>382</v>
      </c>
      <c r="E36" s="156">
        <v>0.64</v>
      </c>
      <c r="F36" s="156">
        <v>1.44</v>
      </c>
      <c r="G36" s="156">
        <v>4.8499999999999996</v>
      </c>
      <c r="H36" s="156">
        <v>5.39</v>
      </c>
      <c r="J36" s="154" t="s">
        <v>382</v>
      </c>
      <c r="K36" s="155" t="s">
        <v>114</v>
      </c>
      <c r="L36" s="156">
        <v>0.24</v>
      </c>
      <c r="M36" s="156">
        <v>0</v>
      </c>
      <c r="N36" s="156">
        <v>2.87</v>
      </c>
      <c r="O36" s="156">
        <v>1.68</v>
      </c>
    </row>
    <row r="37" spans="3:15" ht="15.75" thickBot="1">
      <c r="C37" s="154" t="s">
        <v>385</v>
      </c>
      <c r="D37" s="155" t="s">
        <v>386</v>
      </c>
      <c r="E37" s="156">
        <v>0.01</v>
      </c>
      <c r="F37" s="156">
        <v>0</v>
      </c>
      <c r="G37" s="156">
        <v>0</v>
      </c>
      <c r="H37" s="156">
        <v>0.1</v>
      </c>
      <c r="J37" s="154" t="s">
        <v>382</v>
      </c>
      <c r="K37" s="155" t="s">
        <v>130</v>
      </c>
      <c r="L37" s="156">
        <v>0</v>
      </c>
      <c r="M37" s="156">
        <v>0</v>
      </c>
      <c r="N37" s="156">
        <v>0.32</v>
      </c>
      <c r="O37" s="156">
        <v>0</v>
      </c>
    </row>
    <row r="38" spans="3:15" ht="15.75" thickBot="1">
      <c r="C38" s="154" t="s">
        <v>386</v>
      </c>
      <c r="D38" s="155" t="s">
        <v>106</v>
      </c>
      <c r="E38" s="156">
        <v>0.01</v>
      </c>
      <c r="F38" s="156">
        <v>0.46</v>
      </c>
      <c r="G38" s="156">
        <v>1.55</v>
      </c>
      <c r="H38" s="156">
        <v>0.78</v>
      </c>
      <c r="J38" s="154" t="s">
        <v>383</v>
      </c>
      <c r="K38" s="155" t="s">
        <v>106</v>
      </c>
      <c r="L38" s="156">
        <v>0</v>
      </c>
      <c r="M38" s="156">
        <v>0.82</v>
      </c>
      <c r="N38" s="156">
        <v>0.14000000000000001</v>
      </c>
      <c r="O38" s="156">
        <v>1.35</v>
      </c>
    </row>
    <row r="39" spans="3:15" ht="15.75" thickBot="1">
      <c r="C39" s="154" t="s">
        <v>386</v>
      </c>
      <c r="D39" s="155" t="s">
        <v>108</v>
      </c>
      <c r="E39" s="156">
        <v>0.45</v>
      </c>
      <c r="F39" s="156">
        <v>0.7</v>
      </c>
      <c r="G39" s="156">
        <v>4.24</v>
      </c>
      <c r="H39" s="156">
        <v>3.96</v>
      </c>
      <c r="J39" s="154" t="s">
        <v>383</v>
      </c>
      <c r="K39" s="155" t="s">
        <v>381</v>
      </c>
      <c r="L39" s="156">
        <v>10.52</v>
      </c>
      <c r="M39" s="156">
        <v>21.48</v>
      </c>
      <c r="N39" s="156">
        <v>28.01</v>
      </c>
      <c r="O39" s="156">
        <v>39.39</v>
      </c>
    </row>
    <row r="40" spans="3:15" ht="15.75" thickBot="1">
      <c r="C40" s="154" t="s">
        <v>386</v>
      </c>
      <c r="D40" s="155" t="s">
        <v>382</v>
      </c>
      <c r="E40" s="156">
        <v>0.03</v>
      </c>
      <c r="F40" s="156">
        <v>0.27</v>
      </c>
      <c r="G40" s="156">
        <v>0.44</v>
      </c>
      <c r="H40" s="156">
        <v>0.13</v>
      </c>
      <c r="J40" s="154" t="s">
        <v>383</v>
      </c>
      <c r="K40" s="155" t="s">
        <v>384</v>
      </c>
      <c r="L40" s="156">
        <v>2.94</v>
      </c>
      <c r="M40" s="156">
        <v>3.54</v>
      </c>
      <c r="N40" s="156">
        <v>1.34</v>
      </c>
      <c r="O40" s="156">
        <v>0</v>
      </c>
    </row>
    <row r="41" spans="3:15" ht="15.75" thickBot="1">
      <c r="C41" s="154" t="s">
        <v>386</v>
      </c>
      <c r="D41" s="155" t="s">
        <v>383</v>
      </c>
      <c r="E41" s="156">
        <v>0</v>
      </c>
      <c r="F41" s="156">
        <v>0</v>
      </c>
      <c r="G41" s="156">
        <v>0.54</v>
      </c>
      <c r="H41" s="156">
        <v>1.29</v>
      </c>
      <c r="J41" s="154" t="s">
        <v>383</v>
      </c>
      <c r="K41" s="155" t="s">
        <v>386</v>
      </c>
      <c r="L41" s="156">
        <v>0</v>
      </c>
      <c r="M41" s="156">
        <v>0.12</v>
      </c>
      <c r="N41" s="156">
        <v>1.32</v>
      </c>
      <c r="O41" s="156">
        <v>7.03</v>
      </c>
    </row>
    <row r="42" spans="3:15" ht="15.75" thickBot="1">
      <c r="C42" s="154" t="s">
        <v>386</v>
      </c>
      <c r="D42" s="155" t="s">
        <v>384</v>
      </c>
      <c r="E42" s="156">
        <v>0.01</v>
      </c>
      <c r="F42" s="156">
        <v>0.65</v>
      </c>
      <c r="G42" s="156">
        <v>4.7699999999999996</v>
      </c>
      <c r="H42" s="156">
        <v>5.87</v>
      </c>
      <c r="J42" s="154" t="s">
        <v>383</v>
      </c>
      <c r="K42" s="155" t="s">
        <v>124</v>
      </c>
      <c r="L42" s="156">
        <v>4.8099999999999996</v>
      </c>
      <c r="M42" s="156">
        <v>7.46</v>
      </c>
      <c r="N42" s="156">
        <v>11.58</v>
      </c>
      <c r="O42" s="156">
        <v>8.7799999999999994</v>
      </c>
    </row>
    <row r="43" spans="3:15" ht="15.75" thickBot="1">
      <c r="C43" s="154" t="s">
        <v>386</v>
      </c>
      <c r="D43" s="155" t="s">
        <v>385</v>
      </c>
      <c r="E43" s="156">
        <v>0.01</v>
      </c>
      <c r="F43" s="156">
        <v>0</v>
      </c>
      <c r="G43" s="156">
        <v>0</v>
      </c>
      <c r="H43" s="156">
        <v>0.1</v>
      </c>
      <c r="J43" s="154" t="s">
        <v>384</v>
      </c>
      <c r="K43" s="155" t="s">
        <v>381</v>
      </c>
      <c r="L43" s="156">
        <v>9.0500000000000007</v>
      </c>
      <c r="M43" s="156">
        <v>5.57</v>
      </c>
      <c r="N43" s="156">
        <v>9.6300000000000008</v>
      </c>
      <c r="O43" s="156">
        <v>10.25</v>
      </c>
    </row>
    <row r="44" spans="3:15" ht="15.75" thickBot="1">
      <c r="C44" s="154" t="s">
        <v>386</v>
      </c>
      <c r="D44" s="155" t="s">
        <v>118</v>
      </c>
      <c r="E44" s="156">
        <v>1.34</v>
      </c>
      <c r="F44" s="156">
        <v>1.1000000000000001</v>
      </c>
      <c r="G44" s="156">
        <v>1.84</v>
      </c>
      <c r="H44" s="156">
        <v>2.16</v>
      </c>
      <c r="J44" s="154" t="s">
        <v>384</v>
      </c>
      <c r="K44" s="155" t="s">
        <v>382</v>
      </c>
      <c r="L44" s="156">
        <v>0</v>
      </c>
      <c r="M44" s="156">
        <v>0.13</v>
      </c>
      <c r="N44" s="156">
        <v>0</v>
      </c>
      <c r="O44" s="156">
        <v>0</v>
      </c>
    </row>
    <row r="45" spans="3:15" ht="15.75" thickBot="1">
      <c r="C45" s="154" t="s">
        <v>114</v>
      </c>
      <c r="D45" s="155" t="s">
        <v>381</v>
      </c>
      <c r="E45" s="156">
        <v>0</v>
      </c>
      <c r="F45" s="156">
        <v>2.12</v>
      </c>
      <c r="G45" s="156">
        <v>3.87</v>
      </c>
      <c r="H45" s="156">
        <v>3.97</v>
      </c>
      <c r="J45" s="154" t="s">
        <v>384</v>
      </c>
      <c r="K45" s="155" t="s">
        <v>383</v>
      </c>
      <c r="L45" s="156">
        <v>2.94</v>
      </c>
      <c r="M45" s="156">
        <v>3.54</v>
      </c>
      <c r="N45" s="156">
        <v>1.34</v>
      </c>
      <c r="O45" s="156">
        <v>0</v>
      </c>
    </row>
    <row r="46" spans="3:15" ht="15.75" thickBot="1">
      <c r="C46" s="154" t="s">
        <v>114</v>
      </c>
      <c r="D46" s="155" t="s">
        <v>382</v>
      </c>
      <c r="E46" s="156">
        <v>0.24</v>
      </c>
      <c r="F46" s="156">
        <v>0</v>
      </c>
      <c r="G46" s="156">
        <v>2.37</v>
      </c>
      <c r="H46" s="156">
        <v>1.68</v>
      </c>
      <c r="J46" s="154" t="s">
        <v>384</v>
      </c>
      <c r="K46" s="155" t="s">
        <v>386</v>
      </c>
      <c r="L46" s="156">
        <v>13.44</v>
      </c>
      <c r="M46" s="156">
        <v>6.34</v>
      </c>
      <c r="N46" s="156">
        <v>9.4600000000000009</v>
      </c>
      <c r="O46" s="156">
        <v>11.67</v>
      </c>
    </row>
    <row r="47" spans="3:15" ht="15.75" thickBot="1">
      <c r="C47" s="154" t="s">
        <v>114</v>
      </c>
      <c r="D47" s="155" t="s">
        <v>124</v>
      </c>
      <c r="E47" s="156">
        <v>6.48</v>
      </c>
      <c r="F47" s="156">
        <v>1.79</v>
      </c>
      <c r="G47" s="156">
        <v>0.14000000000000001</v>
      </c>
      <c r="H47" s="156">
        <v>0.14000000000000001</v>
      </c>
      <c r="J47" s="154" t="s">
        <v>385</v>
      </c>
      <c r="K47" s="155" t="s">
        <v>110</v>
      </c>
      <c r="L47" s="156">
        <v>3.26</v>
      </c>
      <c r="M47" s="156">
        <v>1.91</v>
      </c>
      <c r="N47" s="156">
        <v>3.09</v>
      </c>
      <c r="O47" s="156">
        <v>3.16</v>
      </c>
    </row>
    <row r="48" spans="3:15" ht="15.75" thickBot="1">
      <c r="C48" s="154" t="s">
        <v>114</v>
      </c>
      <c r="D48" s="155" t="s">
        <v>130</v>
      </c>
      <c r="E48" s="156">
        <v>0.97</v>
      </c>
      <c r="F48" s="156">
        <v>0</v>
      </c>
      <c r="G48" s="156">
        <v>0</v>
      </c>
      <c r="H48" s="156">
        <v>0</v>
      </c>
      <c r="J48" s="154" t="s">
        <v>385</v>
      </c>
      <c r="K48" s="155" t="s">
        <v>382</v>
      </c>
      <c r="L48" s="156">
        <v>4.12</v>
      </c>
      <c r="M48" s="156">
        <v>5.13</v>
      </c>
      <c r="N48" s="156">
        <v>7.14</v>
      </c>
      <c r="O48" s="156">
        <v>7.44</v>
      </c>
    </row>
    <row r="49" spans="3:15" ht="15.75" thickBot="1">
      <c r="C49" s="154" t="s">
        <v>116</v>
      </c>
      <c r="D49" s="155" t="s">
        <v>104</v>
      </c>
      <c r="E49" s="156">
        <v>0</v>
      </c>
      <c r="F49" s="156">
        <v>0</v>
      </c>
      <c r="G49" s="156">
        <v>0.02</v>
      </c>
      <c r="H49" s="156">
        <v>0.14000000000000001</v>
      </c>
      <c r="J49" s="154" t="s">
        <v>385</v>
      </c>
      <c r="K49" s="155" t="s">
        <v>386</v>
      </c>
      <c r="L49" s="156">
        <v>0.72</v>
      </c>
      <c r="M49" s="156">
        <v>3.5</v>
      </c>
      <c r="N49" s="156">
        <v>3.2</v>
      </c>
      <c r="O49" s="156">
        <v>6.32</v>
      </c>
    </row>
    <row r="50" spans="3:15" ht="15.75" thickBot="1">
      <c r="C50" s="154" t="s">
        <v>116</v>
      </c>
      <c r="D50" s="155" t="s">
        <v>130</v>
      </c>
      <c r="E50" s="156">
        <v>0.17</v>
      </c>
      <c r="F50" s="156">
        <v>0.39</v>
      </c>
      <c r="G50" s="156">
        <v>1.64</v>
      </c>
      <c r="H50" s="156">
        <v>1.52</v>
      </c>
      <c r="J50" s="154" t="s">
        <v>385</v>
      </c>
      <c r="K50" s="155" t="s">
        <v>128</v>
      </c>
      <c r="L50" s="156">
        <v>0</v>
      </c>
      <c r="M50" s="156">
        <v>4.6500000000000004</v>
      </c>
      <c r="N50" s="156">
        <v>1</v>
      </c>
      <c r="O50" s="156">
        <v>7.34</v>
      </c>
    </row>
    <row r="51" spans="3:15" ht="15.75" thickBot="1">
      <c r="C51" s="154" t="s">
        <v>118</v>
      </c>
      <c r="D51" s="155" t="s">
        <v>106</v>
      </c>
      <c r="E51" s="156">
        <v>1.1000000000000001</v>
      </c>
      <c r="F51" s="156">
        <v>2.64</v>
      </c>
      <c r="G51" s="156">
        <v>6.59</v>
      </c>
      <c r="H51" s="156">
        <v>5.61</v>
      </c>
      <c r="J51" s="154" t="s">
        <v>386</v>
      </c>
      <c r="K51" s="155" t="s">
        <v>100</v>
      </c>
      <c r="L51" s="156">
        <v>0.36</v>
      </c>
      <c r="M51" s="156">
        <v>0</v>
      </c>
      <c r="N51" s="156">
        <v>0</v>
      </c>
      <c r="O51" s="156">
        <v>0</v>
      </c>
    </row>
    <row r="52" spans="3:15" ht="15.75" thickBot="1">
      <c r="C52" s="154" t="s">
        <v>118</v>
      </c>
      <c r="D52" s="155" t="s">
        <v>108</v>
      </c>
      <c r="E52" s="156">
        <v>0.78</v>
      </c>
      <c r="F52" s="156">
        <v>0.54</v>
      </c>
      <c r="G52" s="156">
        <v>0.02</v>
      </c>
      <c r="H52" s="156">
        <v>0</v>
      </c>
      <c r="J52" s="154" t="s">
        <v>386</v>
      </c>
      <c r="K52" s="155" t="s">
        <v>106</v>
      </c>
      <c r="L52" s="156">
        <v>0.26</v>
      </c>
      <c r="M52" s="156">
        <v>0.46</v>
      </c>
      <c r="N52" s="156">
        <v>2.99</v>
      </c>
      <c r="O52" s="156">
        <v>0.78</v>
      </c>
    </row>
    <row r="53" spans="3:15" ht="15.75" thickBot="1">
      <c r="C53" s="154" t="s">
        <v>118</v>
      </c>
      <c r="D53" s="155" t="s">
        <v>386</v>
      </c>
      <c r="E53" s="156">
        <v>1.34</v>
      </c>
      <c r="F53" s="156">
        <v>1.1000000000000001</v>
      </c>
      <c r="G53" s="156">
        <v>1.84</v>
      </c>
      <c r="H53" s="156">
        <v>2.16</v>
      </c>
      <c r="J53" s="154" t="s">
        <v>386</v>
      </c>
      <c r="K53" s="155" t="s">
        <v>108</v>
      </c>
      <c r="L53" s="156">
        <v>1.01</v>
      </c>
      <c r="M53" s="156">
        <v>10.39</v>
      </c>
      <c r="N53" s="156">
        <v>21.72</v>
      </c>
      <c r="O53" s="156">
        <v>52.13</v>
      </c>
    </row>
    <row r="54" spans="3:15" ht="15.75" thickBot="1">
      <c r="C54" s="154" t="s">
        <v>118</v>
      </c>
      <c r="D54" s="155" t="s">
        <v>120</v>
      </c>
      <c r="E54" s="156">
        <v>0.4</v>
      </c>
      <c r="F54" s="156">
        <v>0.45</v>
      </c>
      <c r="G54" s="156">
        <v>1.4</v>
      </c>
      <c r="H54" s="156">
        <v>1.1100000000000001</v>
      </c>
      <c r="J54" s="154" t="s">
        <v>386</v>
      </c>
      <c r="K54" s="155" t="s">
        <v>110</v>
      </c>
      <c r="L54" s="156">
        <v>0</v>
      </c>
      <c r="M54" s="156">
        <v>2.3199999999999998</v>
      </c>
      <c r="N54" s="156">
        <v>0</v>
      </c>
      <c r="O54" s="156">
        <v>0</v>
      </c>
    </row>
    <row r="55" spans="3:15" ht="15.75" thickBot="1">
      <c r="C55" s="154" t="s">
        <v>118</v>
      </c>
      <c r="D55" s="155" t="s">
        <v>122</v>
      </c>
      <c r="E55" s="156">
        <v>1.8</v>
      </c>
      <c r="F55" s="156">
        <v>3.17</v>
      </c>
      <c r="G55" s="156">
        <v>9.6</v>
      </c>
      <c r="H55" s="156">
        <v>8.86</v>
      </c>
      <c r="J55" s="154" t="s">
        <v>386</v>
      </c>
      <c r="K55" s="155" t="s">
        <v>382</v>
      </c>
      <c r="L55" s="156">
        <v>0.93</v>
      </c>
      <c r="M55" s="156">
        <v>0.54</v>
      </c>
      <c r="N55" s="156">
        <v>0.44</v>
      </c>
      <c r="O55" s="156">
        <v>0.13</v>
      </c>
    </row>
    <row r="56" spans="3:15" ht="15.75" thickBot="1">
      <c r="C56" s="154" t="s">
        <v>118</v>
      </c>
      <c r="D56" s="155" t="s">
        <v>132</v>
      </c>
      <c r="E56" s="156">
        <v>0</v>
      </c>
      <c r="F56" s="156">
        <v>0</v>
      </c>
      <c r="G56" s="156">
        <v>0</v>
      </c>
      <c r="H56" s="156">
        <v>0.14000000000000001</v>
      </c>
      <c r="J56" s="154" t="s">
        <v>386</v>
      </c>
      <c r="K56" s="155" t="s">
        <v>383</v>
      </c>
      <c r="L56" s="156">
        <v>0</v>
      </c>
      <c r="M56" s="156">
        <v>0.12</v>
      </c>
      <c r="N56" s="156">
        <v>1.32</v>
      </c>
      <c r="O56" s="156">
        <v>7.03</v>
      </c>
    </row>
    <row r="57" spans="3:15" ht="15.75" thickBot="1">
      <c r="C57" s="154" t="s">
        <v>120</v>
      </c>
      <c r="D57" s="155" t="s">
        <v>118</v>
      </c>
      <c r="E57" s="156">
        <v>0.4</v>
      </c>
      <c r="F57" s="156">
        <v>0.45</v>
      </c>
      <c r="G57" s="156">
        <v>1.4</v>
      </c>
      <c r="H57" s="156">
        <v>1.1100000000000001</v>
      </c>
      <c r="J57" s="154" t="s">
        <v>386</v>
      </c>
      <c r="K57" s="155" t="s">
        <v>384</v>
      </c>
      <c r="L57" s="156">
        <v>13.44</v>
      </c>
      <c r="M57" s="156">
        <v>6.34</v>
      </c>
      <c r="N57" s="156">
        <v>9.4600000000000009</v>
      </c>
      <c r="O57" s="156">
        <v>11.67</v>
      </c>
    </row>
    <row r="58" spans="3:15" ht="15.75" thickBot="1">
      <c r="C58" s="154" t="s">
        <v>122</v>
      </c>
      <c r="D58" s="155" t="s">
        <v>100</v>
      </c>
      <c r="E58" s="156">
        <v>0.5</v>
      </c>
      <c r="F58" s="156">
        <v>0.83</v>
      </c>
      <c r="G58" s="156">
        <v>3.39</v>
      </c>
      <c r="H58" s="156">
        <v>2.83</v>
      </c>
      <c r="J58" s="154" t="s">
        <v>386</v>
      </c>
      <c r="K58" s="155" t="s">
        <v>385</v>
      </c>
      <c r="L58" s="156">
        <v>0.72</v>
      </c>
      <c r="M58" s="156">
        <v>3.5</v>
      </c>
      <c r="N58" s="156">
        <v>3.2</v>
      </c>
      <c r="O58" s="156">
        <v>6.32</v>
      </c>
    </row>
    <row r="59" spans="3:15" ht="15.75" thickBot="1">
      <c r="C59" s="154" t="s">
        <v>122</v>
      </c>
      <c r="D59" s="155" t="s">
        <v>102</v>
      </c>
      <c r="E59" s="156">
        <v>0.64</v>
      </c>
      <c r="F59" s="156">
        <v>0.95</v>
      </c>
      <c r="G59" s="156">
        <v>3.92</v>
      </c>
      <c r="H59" s="156">
        <v>3.8</v>
      </c>
      <c r="J59" s="154" t="s">
        <v>386</v>
      </c>
      <c r="K59" s="155" t="s">
        <v>118</v>
      </c>
      <c r="L59" s="156">
        <v>2.74</v>
      </c>
      <c r="M59" s="156">
        <v>13.17</v>
      </c>
      <c r="N59" s="156">
        <v>19.350000000000001</v>
      </c>
      <c r="O59" s="156">
        <v>16.18</v>
      </c>
    </row>
    <row r="60" spans="3:15" ht="15.75" thickBot="1">
      <c r="C60" s="154" t="s">
        <v>122</v>
      </c>
      <c r="D60" s="155" t="s">
        <v>108</v>
      </c>
      <c r="E60" s="156">
        <v>0</v>
      </c>
      <c r="F60" s="156">
        <v>1.24</v>
      </c>
      <c r="G60" s="156">
        <v>4.76</v>
      </c>
      <c r="H60" s="156">
        <v>5.57</v>
      </c>
      <c r="J60" s="154" t="s">
        <v>114</v>
      </c>
      <c r="K60" s="155" t="s">
        <v>381</v>
      </c>
      <c r="L60" s="156">
        <v>0</v>
      </c>
      <c r="M60" s="156">
        <v>2.12</v>
      </c>
      <c r="N60" s="156">
        <v>3.87</v>
      </c>
      <c r="O60" s="156">
        <v>8.02</v>
      </c>
    </row>
    <row r="61" spans="3:15" ht="15.75" thickBot="1">
      <c r="C61" s="154" t="s">
        <v>122</v>
      </c>
      <c r="D61" s="155" t="s">
        <v>118</v>
      </c>
      <c r="E61" s="156">
        <v>1.8</v>
      </c>
      <c r="F61" s="156">
        <v>3.17</v>
      </c>
      <c r="G61" s="156">
        <v>9.6</v>
      </c>
      <c r="H61" s="156">
        <v>8.86</v>
      </c>
      <c r="J61" s="154" t="s">
        <v>114</v>
      </c>
      <c r="K61" s="155" t="s">
        <v>382</v>
      </c>
      <c r="L61" s="156">
        <v>0.24</v>
      </c>
      <c r="M61" s="156">
        <v>0</v>
      </c>
      <c r="N61" s="156">
        <v>2.87</v>
      </c>
      <c r="O61" s="156">
        <v>1.68</v>
      </c>
    </row>
    <row r="62" spans="3:15" ht="15.75" thickBot="1">
      <c r="C62" s="154" t="s">
        <v>124</v>
      </c>
      <c r="D62" s="155" t="s">
        <v>106</v>
      </c>
      <c r="E62" s="156">
        <v>10.56</v>
      </c>
      <c r="F62" s="156">
        <v>7.48</v>
      </c>
      <c r="G62" s="156">
        <v>5.49</v>
      </c>
      <c r="H62" s="156">
        <v>3.52</v>
      </c>
      <c r="J62" s="154" t="s">
        <v>114</v>
      </c>
      <c r="K62" s="155" t="s">
        <v>124</v>
      </c>
      <c r="L62" s="156">
        <v>6.73</v>
      </c>
      <c r="M62" s="156">
        <v>16.46</v>
      </c>
      <c r="N62" s="156">
        <v>12.83</v>
      </c>
      <c r="O62" s="156">
        <v>10.07</v>
      </c>
    </row>
    <row r="63" spans="3:15" ht="15.75" thickBot="1">
      <c r="C63" s="154" t="s">
        <v>124</v>
      </c>
      <c r="D63" s="155" t="s">
        <v>383</v>
      </c>
      <c r="E63" s="156">
        <v>1.24</v>
      </c>
      <c r="F63" s="156">
        <v>0.98</v>
      </c>
      <c r="G63" s="156">
        <v>2.63</v>
      </c>
      <c r="H63" s="156">
        <v>4.5999999999999996</v>
      </c>
      <c r="J63" s="154" t="s">
        <v>114</v>
      </c>
      <c r="K63" s="155" t="s">
        <v>130</v>
      </c>
      <c r="L63" s="156">
        <v>0.97</v>
      </c>
      <c r="M63" s="156">
        <v>0</v>
      </c>
      <c r="N63" s="156">
        <v>0</v>
      </c>
      <c r="O63" s="156">
        <v>0</v>
      </c>
    </row>
    <row r="64" spans="3:15" ht="15.75" thickBot="1">
      <c r="C64" s="154" t="s">
        <v>124</v>
      </c>
      <c r="D64" s="155" t="s">
        <v>114</v>
      </c>
      <c r="E64" s="156">
        <v>6.48</v>
      </c>
      <c r="F64" s="156">
        <v>1.79</v>
      </c>
      <c r="G64" s="156">
        <v>0.14000000000000001</v>
      </c>
      <c r="H64" s="156">
        <v>0.14000000000000001</v>
      </c>
      <c r="J64" s="154" t="s">
        <v>116</v>
      </c>
      <c r="K64" s="155" t="s">
        <v>104</v>
      </c>
      <c r="L64" s="156">
        <v>0</v>
      </c>
      <c r="M64" s="156">
        <v>0.88</v>
      </c>
      <c r="N64" s="156">
        <v>1.81</v>
      </c>
      <c r="O64" s="156">
        <v>1.53</v>
      </c>
    </row>
    <row r="65" spans="3:15" ht="15.75" thickBot="1">
      <c r="C65" s="154" t="s">
        <v>124</v>
      </c>
      <c r="D65" s="155" t="s">
        <v>126</v>
      </c>
      <c r="E65" s="156">
        <v>3.02</v>
      </c>
      <c r="F65" s="156">
        <v>8.84</v>
      </c>
      <c r="G65" s="156">
        <v>10.97</v>
      </c>
      <c r="H65" s="156">
        <v>11.36</v>
      </c>
      <c r="J65" s="154" t="s">
        <v>116</v>
      </c>
      <c r="K65" s="155" t="s">
        <v>130</v>
      </c>
      <c r="L65" s="156">
        <v>1.1499999999999999</v>
      </c>
      <c r="M65" s="156">
        <v>4.5</v>
      </c>
      <c r="N65" s="156">
        <v>7.04</v>
      </c>
      <c r="O65" s="156">
        <v>8.4</v>
      </c>
    </row>
    <row r="66" spans="3:15" ht="15.75" thickBot="1">
      <c r="C66" s="154" t="s">
        <v>126</v>
      </c>
      <c r="D66" s="155" t="s">
        <v>381</v>
      </c>
      <c r="E66" s="156">
        <v>0</v>
      </c>
      <c r="F66" s="156">
        <v>0</v>
      </c>
      <c r="G66" s="156">
        <v>1.26</v>
      </c>
      <c r="H66" s="156">
        <v>0.63</v>
      </c>
      <c r="J66" s="154" t="s">
        <v>118</v>
      </c>
      <c r="K66" s="155" t="s">
        <v>106</v>
      </c>
      <c r="L66" s="156">
        <v>1.1000000000000001</v>
      </c>
      <c r="M66" s="156">
        <v>8.4</v>
      </c>
      <c r="N66" s="156">
        <v>15.12</v>
      </c>
      <c r="O66" s="156">
        <v>31.09</v>
      </c>
    </row>
    <row r="67" spans="3:15" ht="15.75" thickBot="1">
      <c r="C67" s="154" t="s">
        <v>126</v>
      </c>
      <c r="D67" s="155" t="s">
        <v>124</v>
      </c>
      <c r="E67" s="156">
        <v>3.02</v>
      </c>
      <c r="F67" s="156">
        <v>8.84</v>
      </c>
      <c r="G67" s="156">
        <v>10.97</v>
      </c>
      <c r="H67" s="156">
        <v>11.36</v>
      </c>
      <c r="J67" s="154" t="s">
        <v>118</v>
      </c>
      <c r="K67" s="155" t="s">
        <v>108</v>
      </c>
      <c r="L67" s="156">
        <v>5.38</v>
      </c>
      <c r="M67" s="156">
        <v>16.02</v>
      </c>
      <c r="N67" s="156">
        <v>19.64</v>
      </c>
      <c r="O67" s="156">
        <v>19.989999999999998</v>
      </c>
    </row>
    <row r="68" spans="3:15" ht="15.75" thickBot="1">
      <c r="C68" s="154" t="s">
        <v>126</v>
      </c>
      <c r="D68" s="155" t="s">
        <v>130</v>
      </c>
      <c r="E68" s="156">
        <v>2.2999999999999998</v>
      </c>
      <c r="F68" s="156">
        <v>1.84</v>
      </c>
      <c r="G68" s="156">
        <v>6.47</v>
      </c>
      <c r="H68" s="156">
        <v>6.01</v>
      </c>
      <c r="J68" s="154" t="s">
        <v>118</v>
      </c>
      <c r="K68" s="155" t="s">
        <v>386</v>
      </c>
      <c r="L68" s="156">
        <v>2.74</v>
      </c>
      <c r="M68" s="156">
        <v>13.17</v>
      </c>
      <c r="N68" s="156">
        <v>19.350000000000001</v>
      </c>
      <c r="O68" s="156">
        <v>16.18</v>
      </c>
    </row>
    <row r="69" spans="3:15" ht="15.75" thickBot="1">
      <c r="C69" s="154" t="s">
        <v>128</v>
      </c>
      <c r="D69" s="155" t="s">
        <v>104</v>
      </c>
      <c r="E69" s="156">
        <v>0.36</v>
      </c>
      <c r="F69" s="156">
        <v>1.39</v>
      </c>
      <c r="G69" s="156">
        <v>3.06</v>
      </c>
      <c r="H69" s="156">
        <v>3.64</v>
      </c>
      <c r="J69" s="154" t="s">
        <v>118</v>
      </c>
      <c r="K69" s="155" t="s">
        <v>120</v>
      </c>
      <c r="L69" s="156">
        <v>3.35</v>
      </c>
      <c r="M69" s="156">
        <v>16.52</v>
      </c>
      <c r="N69" s="156">
        <v>39.44</v>
      </c>
      <c r="O69" s="156">
        <v>57.6</v>
      </c>
    </row>
    <row r="70" spans="3:15" ht="15.75" thickBot="1">
      <c r="C70" s="154" t="s">
        <v>128</v>
      </c>
      <c r="D70" s="155" t="s">
        <v>110</v>
      </c>
      <c r="E70" s="156">
        <v>0.15</v>
      </c>
      <c r="F70" s="156">
        <v>0.12</v>
      </c>
      <c r="G70" s="156">
        <v>0.34</v>
      </c>
      <c r="H70" s="156">
        <v>0.4</v>
      </c>
      <c r="J70" s="154" t="s">
        <v>118</v>
      </c>
      <c r="K70" s="155" t="s">
        <v>122</v>
      </c>
      <c r="L70" s="156">
        <v>9.2200000000000006</v>
      </c>
      <c r="M70" s="156">
        <v>15.96</v>
      </c>
      <c r="N70" s="156">
        <v>21.68</v>
      </c>
      <c r="O70" s="156">
        <v>23.97</v>
      </c>
    </row>
    <row r="71" spans="3:15" ht="15.75" thickBot="1">
      <c r="C71" s="154" t="s">
        <v>128</v>
      </c>
      <c r="D71" s="155" t="s">
        <v>130</v>
      </c>
      <c r="E71" s="156">
        <v>0.89</v>
      </c>
      <c r="F71" s="156">
        <v>0.86</v>
      </c>
      <c r="G71" s="156">
        <v>2.93</v>
      </c>
      <c r="H71" s="156">
        <v>2.59</v>
      </c>
      <c r="J71" s="154" t="s">
        <v>118</v>
      </c>
      <c r="K71" s="155" t="s">
        <v>132</v>
      </c>
      <c r="L71" s="156">
        <v>0</v>
      </c>
      <c r="M71" s="156">
        <v>0</v>
      </c>
      <c r="N71" s="156">
        <v>0</v>
      </c>
      <c r="O71" s="156">
        <v>0.14000000000000001</v>
      </c>
    </row>
    <row r="72" spans="3:15" ht="15.75" thickBot="1">
      <c r="C72" s="154" t="s">
        <v>130</v>
      </c>
      <c r="D72" s="155" t="s">
        <v>114</v>
      </c>
      <c r="E72" s="156">
        <v>0.97</v>
      </c>
      <c r="F72" s="156">
        <v>0</v>
      </c>
      <c r="G72" s="156">
        <v>0</v>
      </c>
      <c r="H72" s="156">
        <v>0</v>
      </c>
      <c r="J72" s="154" t="s">
        <v>120</v>
      </c>
      <c r="K72" s="155" t="s">
        <v>118</v>
      </c>
      <c r="L72" s="156">
        <v>3.35</v>
      </c>
      <c r="M72" s="156">
        <v>16.52</v>
      </c>
      <c r="N72" s="156">
        <v>39.44</v>
      </c>
      <c r="O72" s="156">
        <v>57.6</v>
      </c>
    </row>
    <row r="73" spans="3:15" ht="15.75" thickBot="1">
      <c r="C73" s="154" t="s">
        <v>130</v>
      </c>
      <c r="D73" s="155" t="s">
        <v>116</v>
      </c>
      <c r="E73" s="156">
        <v>0.17</v>
      </c>
      <c r="F73" s="156">
        <v>0.39</v>
      </c>
      <c r="G73" s="156">
        <v>1.64</v>
      </c>
      <c r="H73" s="156">
        <v>1.52</v>
      </c>
      <c r="J73" s="154" t="s">
        <v>122</v>
      </c>
      <c r="K73" s="155" t="s">
        <v>100</v>
      </c>
      <c r="L73" s="156">
        <v>1.18</v>
      </c>
      <c r="M73" s="156">
        <v>7.05</v>
      </c>
      <c r="N73" s="156">
        <v>12.6</v>
      </c>
      <c r="O73" s="156">
        <v>15.43</v>
      </c>
    </row>
    <row r="74" spans="3:15" ht="15.75" thickBot="1">
      <c r="C74" s="154" t="s">
        <v>130</v>
      </c>
      <c r="D74" s="155" t="s">
        <v>126</v>
      </c>
      <c r="E74" s="156">
        <v>2.2999999999999998</v>
      </c>
      <c r="F74" s="156">
        <v>1.84</v>
      </c>
      <c r="G74" s="156">
        <v>6.47</v>
      </c>
      <c r="H74" s="156">
        <v>6.01</v>
      </c>
      <c r="J74" s="154" t="s">
        <v>122</v>
      </c>
      <c r="K74" s="155" t="s">
        <v>102</v>
      </c>
      <c r="L74" s="156">
        <v>4.2</v>
      </c>
      <c r="M74" s="156">
        <v>7.6</v>
      </c>
      <c r="N74" s="156">
        <v>14.8</v>
      </c>
      <c r="O74" s="156">
        <v>18.43</v>
      </c>
    </row>
    <row r="75" spans="3:15" ht="15.75" thickBot="1">
      <c r="C75" s="154" t="s">
        <v>130</v>
      </c>
      <c r="D75" s="155" t="s">
        <v>128</v>
      </c>
      <c r="E75" s="156">
        <v>0.89</v>
      </c>
      <c r="F75" s="156">
        <v>0.86</v>
      </c>
      <c r="G75" s="156">
        <v>2.93</v>
      </c>
      <c r="H75" s="156">
        <v>2.59</v>
      </c>
      <c r="J75" s="154" t="s">
        <v>122</v>
      </c>
      <c r="K75" s="155" t="s">
        <v>108</v>
      </c>
      <c r="L75" s="156">
        <v>2.0299999999999998</v>
      </c>
      <c r="M75" s="156">
        <v>14.84</v>
      </c>
      <c r="N75" s="156">
        <v>26.31</v>
      </c>
      <c r="O75" s="156">
        <v>59</v>
      </c>
    </row>
    <row r="76" spans="3:15" ht="15.75" thickBot="1">
      <c r="C76" s="154" t="s">
        <v>132</v>
      </c>
      <c r="D76" s="155" t="s">
        <v>106</v>
      </c>
      <c r="E76" s="156">
        <v>9.86</v>
      </c>
      <c r="F76" s="156">
        <v>8.09</v>
      </c>
      <c r="G76" s="156">
        <v>6.7</v>
      </c>
      <c r="H76" s="156">
        <v>7</v>
      </c>
      <c r="J76" s="154" t="s">
        <v>122</v>
      </c>
      <c r="K76" s="155" t="s">
        <v>118</v>
      </c>
      <c r="L76" s="156">
        <v>9.2200000000000006</v>
      </c>
      <c r="M76" s="156">
        <v>15.96</v>
      </c>
      <c r="N76" s="156">
        <v>21.68</v>
      </c>
      <c r="O76" s="156">
        <v>23.97</v>
      </c>
    </row>
    <row r="77" spans="3:15" ht="15.75" thickBot="1">
      <c r="C77" s="154" t="s">
        <v>132</v>
      </c>
      <c r="D77" s="155" t="s">
        <v>118</v>
      </c>
      <c r="E77" s="156">
        <v>0</v>
      </c>
      <c r="F77" s="156">
        <v>0</v>
      </c>
      <c r="G77" s="156">
        <v>0</v>
      </c>
      <c r="H77" s="156">
        <v>0.14000000000000001</v>
      </c>
      <c r="J77" s="154" t="s">
        <v>124</v>
      </c>
      <c r="K77" s="155" t="s">
        <v>106</v>
      </c>
      <c r="L77" s="156">
        <v>20.73</v>
      </c>
      <c r="M77" s="156">
        <v>12.77</v>
      </c>
      <c r="N77" s="156">
        <v>12.23</v>
      </c>
      <c r="O77" s="156">
        <v>9.6199999999999992</v>
      </c>
    </row>
    <row r="78" spans="3:15" ht="15" customHeight="1" thickBot="1">
      <c r="C78" s="157"/>
      <c r="J78" s="154" t="s">
        <v>124</v>
      </c>
      <c r="K78" s="155" t="s">
        <v>383</v>
      </c>
      <c r="L78" s="156">
        <v>4.8099999999999996</v>
      </c>
      <c r="M78" s="156">
        <v>7.46</v>
      </c>
      <c r="N78" s="156">
        <v>11.58</v>
      </c>
      <c r="O78" s="156">
        <v>8.7799999999999994</v>
      </c>
    </row>
    <row r="79" spans="3:15" ht="15.75" thickBot="1">
      <c r="J79" s="154" t="s">
        <v>124</v>
      </c>
      <c r="K79" s="155" t="s">
        <v>114</v>
      </c>
      <c r="L79" s="156">
        <v>6.73</v>
      </c>
      <c r="M79" s="156">
        <v>16.46</v>
      </c>
      <c r="N79" s="156">
        <v>12.83</v>
      </c>
      <c r="O79" s="156">
        <v>10.07</v>
      </c>
    </row>
    <row r="80" spans="3:15" ht="15.75" thickBot="1">
      <c r="J80" s="154" t="s">
        <v>124</v>
      </c>
      <c r="K80" s="155" t="s">
        <v>126</v>
      </c>
      <c r="L80" s="156">
        <v>3.02</v>
      </c>
      <c r="M80" s="156">
        <v>9.16</v>
      </c>
      <c r="N80" s="156">
        <v>19.41</v>
      </c>
      <c r="O80" s="156">
        <v>26.68</v>
      </c>
    </row>
    <row r="81" spans="10:15" ht="15.75" thickBot="1">
      <c r="J81" s="154" t="s">
        <v>124</v>
      </c>
      <c r="K81" s="155" t="s">
        <v>132</v>
      </c>
      <c r="L81" s="156">
        <v>3.31</v>
      </c>
      <c r="M81" s="156">
        <v>23.57</v>
      </c>
      <c r="N81" s="156">
        <v>26.82</v>
      </c>
      <c r="O81" s="156">
        <v>25.36</v>
      </c>
    </row>
    <row r="82" spans="10:15" ht="15.75" thickBot="1">
      <c r="J82" s="154" t="s">
        <v>126</v>
      </c>
      <c r="K82" s="155" t="s">
        <v>381</v>
      </c>
      <c r="L82" s="156">
        <v>0</v>
      </c>
      <c r="M82" s="156">
        <v>0</v>
      </c>
      <c r="N82" s="156">
        <v>1.26</v>
      </c>
      <c r="O82" s="156">
        <v>0.63</v>
      </c>
    </row>
    <row r="83" spans="10:15" ht="15.75" thickBot="1">
      <c r="J83" s="154" t="s">
        <v>126</v>
      </c>
      <c r="K83" s="155" t="s">
        <v>124</v>
      </c>
      <c r="L83" s="156">
        <v>3.02</v>
      </c>
      <c r="M83" s="156">
        <v>9.16</v>
      </c>
      <c r="N83" s="156">
        <v>19.41</v>
      </c>
      <c r="O83" s="156">
        <v>26.68</v>
      </c>
    </row>
    <row r="84" spans="10:15" ht="15.75" thickBot="1">
      <c r="J84" s="154" t="s">
        <v>126</v>
      </c>
      <c r="K84" s="155" t="s">
        <v>130</v>
      </c>
      <c r="L84" s="156">
        <v>3.54</v>
      </c>
      <c r="M84" s="156">
        <v>11.83</v>
      </c>
      <c r="N84" s="156">
        <v>13.36</v>
      </c>
      <c r="O84" s="156">
        <v>12.2</v>
      </c>
    </row>
    <row r="85" spans="10:15" ht="15.75" thickBot="1">
      <c r="J85" s="154" t="s">
        <v>128</v>
      </c>
      <c r="K85" s="155" t="s">
        <v>104</v>
      </c>
      <c r="L85" s="156">
        <v>0.91</v>
      </c>
      <c r="M85" s="156">
        <v>4.42</v>
      </c>
      <c r="N85" s="156">
        <v>7.42</v>
      </c>
      <c r="O85" s="156">
        <v>11.66</v>
      </c>
    </row>
    <row r="86" spans="10:15" ht="15.75" thickBot="1">
      <c r="J86" s="154" t="s">
        <v>128</v>
      </c>
      <c r="K86" s="155" t="s">
        <v>110</v>
      </c>
      <c r="L86" s="156">
        <v>1.65</v>
      </c>
      <c r="M86" s="156">
        <v>13.68</v>
      </c>
      <c r="N86" s="156">
        <v>15.65</v>
      </c>
      <c r="O86" s="156">
        <v>14.02</v>
      </c>
    </row>
    <row r="87" spans="10:15" ht="15.75" thickBot="1">
      <c r="J87" s="154" t="s">
        <v>128</v>
      </c>
      <c r="K87" s="155" t="s">
        <v>385</v>
      </c>
      <c r="L87" s="156">
        <v>0</v>
      </c>
      <c r="M87" s="156">
        <v>4.6500000000000004</v>
      </c>
      <c r="N87" s="156">
        <v>1</v>
      </c>
      <c r="O87" s="156">
        <v>7.34</v>
      </c>
    </row>
    <row r="88" spans="10:15" ht="15.75" thickBot="1">
      <c r="J88" s="154" t="s">
        <v>128</v>
      </c>
      <c r="K88" s="155" t="s">
        <v>130</v>
      </c>
      <c r="L88" s="156">
        <v>0.89</v>
      </c>
      <c r="M88" s="156">
        <v>0.86</v>
      </c>
      <c r="N88" s="156">
        <v>2.93</v>
      </c>
      <c r="O88" s="156">
        <v>2.59</v>
      </c>
    </row>
    <row r="89" spans="10:15" ht="15.75" thickBot="1">
      <c r="J89" s="154" t="s">
        <v>130</v>
      </c>
      <c r="K89" s="155" t="s">
        <v>381</v>
      </c>
      <c r="L89" s="156">
        <v>0</v>
      </c>
      <c r="M89" s="156">
        <v>0.54</v>
      </c>
      <c r="N89" s="156">
        <v>4.3099999999999996</v>
      </c>
      <c r="O89" s="156">
        <v>13.8</v>
      </c>
    </row>
    <row r="90" spans="10:15" ht="15.75" thickBot="1">
      <c r="J90" s="154" t="s">
        <v>130</v>
      </c>
      <c r="K90" s="155" t="s">
        <v>382</v>
      </c>
      <c r="L90" s="156">
        <v>0</v>
      </c>
      <c r="M90" s="156">
        <v>0</v>
      </c>
      <c r="N90" s="156">
        <v>0.32</v>
      </c>
      <c r="O90" s="156">
        <v>0</v>
      </c>
    </row>
    <row r="91" spans="10:15" ht="15.75" thickBot="1">
      <c r="J91" s="154" t="s">
        <v>130</v>
      </c>
      <c r="K91" s="155" t="s">
        <v>114</v>
      </c>
      <c r="L91" s="156">
        <v>0.97</v>
      </c>
      <c r="M91" s="156">
        <v>0</v>
      </c>
      <c r="N91" s="156">
        <v>0</v>
      </c>
      <c r="O91" s="156">
        <v>0</v>
      </c>
    </row>
    <row r="92" spans="10:15" ht="15.75" thickBot="1">
      <c r="J92" s="154" t="s">
        <v>130</v>
      </c>
      <c r="K92" s="155" t="s">
        <v>116</v>
      </c>
      <c r="L92" s="156">
        <v>1.1499999999999999</v>
      </c>
      <c r="M92" s="156">
        <v>4.5</v>
      </c>
      <c r="N92" s="156">
        <v>7.04</v>
      </c>
      <c r="O92" s="156">
        <v>8.4</v>
      </c>
    </row>
    <row r="93" spans="10:15" ht="15.75" thickBot="1">
      <c r="J93" s="154" t="s">
        <v>130</v>
      </c>
      <c r="K93" s="155" t="s">
        <v>126</v>
      </c>
      <c r="L93" s="156">
        <v>3.54</v>
      </c>
      <c r="M93" s="156">
        <v>11.83</v>
      </c>
      <c r="N93" s="156">
        <v>13.36</v>
      </c>
      <c r="O93" s="156">
        <v>12.2</v>
      </c>
    </row>
    <row r="94" spans="10:15" ht="15.75" thickBot="1">
      <c r="J94" s="154" t="s">
        <v>130</v>
      </c>
      <c r="K94" s="155" t="s">
        <v>128</v>
      </c>
      <c r="L94" s="156">
        <v>0.89</v>
      </c>
      <c r="M94" s="156">
        <v>0.86</v>
      </c>
      <c r="N94" s="156">
        <v>2.93</v>
      </c>
      <c r="O94" s="156">
        <v>2.59</v>
      </c>
    </row>
    <row r="95" spans="10:15" ht="15.75" thickBot="1">
      <c r="J95" s="154" t="s">
        <v>132</v>
      </c>
      <c r="K95" s="155" t="s">
        <v>106</v>
      </c>
      <c r="L95" s="156">
        <v>14.83</v>
      </c>
      <c r="M95" s="156">
        <v>26.31</v>
      </c>
      <c r="N95" s="156">
        <v>35.22</v>
      </c>
      <c r="O95" s="156">
        <v>18.75</v>
      </c>
    </row>
    <row r="96" spans="10:15" ht="15.75" thickBot="1">
      <c r="J96" s="154" t="s">
        <v>132</v>
      </c>
      <c r="K96" s="155" t="s">
        <v>118</v>
      </c>
      <c r="L96" s="156">
        <v>0</v>
      </c>
      <c r="M96" s="156">
        <v>0</v>
      </c>
      <c r="N96" s="156">
        <v>0</v>
      </c>
      <c r="O96" s="156">
        <v>0.14000000000000001</v>
      </c>
    </row>
    <row r="97" spans="10:15" ht="15.75" thickBot="1">
      <c r="J97" s="154" t="s">
        <v>132</v>
      </c>
      <c r="K97" s="155" t="s">
        <v>124</v>
      </c>
      <c r="L97" s="156">
        <v>3.31</v>
      </c>
      <c r="M97" s="156">
        <v>23.57</v>
      </c>
      <c r="N97" s="156">
        <v>26.82</v>
      </c>
      <c r="O97" s="156">
        <v>25.36</v>
      </c>
    </row>
  </sheetData>
  <mergeCells count="2">
    <mergeCell ref="C2:H2"/>
    <mergeCell ref="J2:O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11E8-5BEC-4F4D-8D0D-249A499242BD}">
  <sheetPr>
    <tabColor theme="9" tint="0.79998168889431442"/>
  </sheetPr>
  <dimension ref="B4:J30"/>
  <sheetViews>
    <sheetView showGridLines="0" workbookViewId="0">
      <selection activeCell="B4" sqref="B4:J4"/>
    </sheetView>
  </sheetViews>
  <sheetFormatPr defaultColWidth="11.42578125" defaultRowHeight="15"/>
  <sheetData>
    <row r="4" spans="2:10" ht="15.75" thickBot="1">
      <c r="B4" s="230" t="s">
        <v>20</v>
      </c>
      <c r="C4" s="230"/>
      <c r="D4" s="230"/>
      <c r="E4" s="230"/>
      <c r="F4" s="230"/>
      <c r="G4" s="230"/>
      <c r="H4" s="230"/>
      <c r="I4" s="230"/>
      <c r="J4" s="230"/>
    </row>
    <row r="5" spans="2:10" ht="15.75" thickBot="1">
      <c r="B5" s="158"/>
      <c r="C5" s="224">
        <v>2030</v>
      </c>
      <c r="D5" s="225"/>
      <c r="E5" s="225"/>
      <c r="F5" s="226"/>
      <c r="G5" s="227">
        <v>2050</v>
      </c>
      <c r="H5" s="228"/>
      <c r="I5" s="228"/>
      <c r="J5" s="229"/>
    </row>
    <row r="6" spans="2:10" ht="15.75" thickBot="1">
      <c r="B6" s="159" t="s">
        <v>136</v>
      </c>
      <c r="C6" s="160" t="s">
        <v>397</v>
      </c>
      <c r="D6" s="160" t="s">
        <v>398</v>
      </c>
      <c r="E6" s="160" t="s">
        <v>399</v>
      </c>
      <c r="F6" s="160" t="s">
        <v>400</v>
      </c>
      <c r="G6" s="161" t="s">
        <v>397</v>
      </c>
      <c r="H6" s="161" t="s">
        <v>398</v>
      </c>
      <c r="I6" s="161" t="s">
        <v>399</v>
      </c>
      <c r="J6" s="161" t="s">
        <v>400</v>
      </c>
    </row>
    <row r="7" spans="2:10" ht="15.75" thickBot="1">
      <c r="B7" s="159" t="s">
        <v>100</v>
      </c>
      <c r="C7" s="162">
        <v>0</v>
      </c>
      <c r="D7" s="162">
        <v>0</v>
      </c>
      <c r="E7" s="162">
        <v>0</v>
      </c>
      <c r="F7" s="162">
        <v>0</v>
      </c>
      <c r="G7" s="163">
        <v>0</v>
      </c>
      <c r="H7" s="163">
        <v>0</v>
      </c>
      <c r="I7" s="163">
        <v>3</v>
      </c>
      <c r="J7" s="163">
        <v>3</v>
      </c>
    </row>
    <row r="8" spans="2:10" ht="15.75" thickBot="1">
      <c r="B8" s="159" t="s">
        <v>102</v>
      </c>
      <c r="C8" s="162">
        <v>2</v>
      </c>
      <c r="D8" s="162">
        <v>3</v>
      </c>
      <c r="E8" s="162">
        <v>7</v>
      </c>
      <c r="F8" s="162">
        <v>8</v>
      </c>
      <c r="G8" s="163">
        <v>30</v>
      </c>
      <c r="H8" s="163">
        <v>69</v>
      </c>
      <c r="I8" s="163">
        <v>93</v>
      </c>
      <c r="J8" s="163">
        <v>118</v>
      </c>
    </row>
    <row r="9" spans="2:10" ht="15.75" thickBot="1">
      <c r="B9" s="159" t="s">
        <v>104</v>
      </c>
      <c r="C9" s="162">
        <v>0</v>
      </c>
      <c r="D9" s="162">
        <v>1</v>
      </c>
      <c r="E9" s="162">
        <v>3</v>
      </c>
      <c r="F9" s="162">
        <v>3</v>
      </c>
      <c r="G9" s="163">
        <v>1</v>
      </c>
      <c r="H9" s="163">
        <v>6</v>
      </c>
      <c r="I9" s="163">
        <v>10</v>
      </c>
      <c r="J9" s="163">
        <v>14</v>
      </c>
    </row>
    <row r="10" spans="2:10" ht="15.75" thickBot="1">
      <c r="B10" s="159" t="s">
        <v>106</v>
      </c>
      <c r="C10" s="162">
        <v>0</v>
      </c>
      <c r="D10" s="162">
        <v>0</v>
      </c>
      <c r="E10" s="162">
        <v>0</v>
      </c>
      <c r="F10" s="162">
        <v>0</v>
      </c>
      <c r="G10" s="163">
        <v>0</v>
      </c>
      <c r="H10" s="163">
        <v>0</v>
      </c>
      <c r="I10" s="163">
        <v>0</v>
      </c>
      <c r="J10" s="163">
        <v>0</v>
      </c>
    </row>
    <row r="11" spans="2:10" ht="15.75" thickBot="1">
      <c r="B11" s="159" t="s">
        <v>108</v>
      </c>
      <c r="C11" s="162">
        <v>0</v>
      </c>
      <c r="D11" s="162">
        <v>0</v>
      </c>
      <c r="E11" s="162">
        <v>0</v>
      </c>
      <c r="F11" s="162">
        <v>0</v>
      </c>
      <c r="G11" s="163">
        <v>0</v>
      </c>
      <c r="H11" s="163">
        <v>3</v>
      </c>
      <c r="I11" s="163">
        <v>9</v>
      </c>
      <c r="J11" s="163">
        <v>16</v>
      </c>
    </row>
    <row r="12" spans="2:10" ht="15.75" thickBot="1">
      <c r="B12" s="159" t="s">
        <v>110</v>
      </c>
      <c r="C12" s="162">
        <v>0</v>
      </c>
      <c r="D12" s="162">
        <v>0</v>
      </c>
      <c r="E12" s="162">
        <v>0</v>
      </c>
      <c r="F12" s="162">
        <v>0</v>
      </c>
      <c r="G12" s="163">
        <v>0</v>
      </c>
      <c r="H12" s="163">
        <v>0</v>
      </c>
      <c r="I12" s="163">
        <v>2</v>
      </c>
      <c r="J12" s="163">
        <v>2</v>
      </c>
    </row>
    <row r="13" spans="2:10" ht="15.75" thickBot="1">
      <c r="B13" s="159" t="s">
        <v>381</v>
      </c>
      <c r="C13" s="162">
        <v>11</v>
      </c>
      <c r="D13" s="162">
        <v>9</v>
      </c>
      <c r="E13" s="162">
        <v>12</v>
      </c>
      <c r="F13" s="162">
        <v>13</v>
      </c>
      <c r="G13" s="163">
        <v>34</v>
      </c>
      <c r="H13" s="163">
        <v>50</v>
      </c>
      <c r="I13" s="163">
        <v>59</v>
      </c>
      <c r="J13" s="163">
        <v>61</v>
      </c>
    </row>
    <row r="14" spans="2:10" ht="15.75" thickBot="1">
      <c r="B14" s="159" t="s">
        <v>382</v>
      </c>
      <c r="C14" s="162">
        <v>5</v>
      </c>
      <c r="D14" s="162">
        <v>6</v>
      </c>
      <c r="E14" s="162">
        <v>8</v>
      </c>
      <c r="F14" s="162">
        <v>10</v>
      </c>
      <c r="G14" s="163">
        <v>18</v>
      </c>
      <c r="H14" s="163">
        <v>20</v>
      </c>
      <c r="I14" s="163">
        <v>24</v>
      </c>
      <c r="J14" s="163">
        <v>26</v>
      </c>
    </row>
    <row r="15" spans="2:10" ht="15.75" thickBot="1">
      <c r="B15" s="159" t="s">
        <v>383</v>
      </c>
      <c r="C15" s="162">
        <v>0</v>
      </c>
      <c r="D15" s="162">
        <v>0</v>
      </c>
      <c r="E15" s="162">
        <v>0</v>
      </c>
      <c r="F15" s="162">
        <v>0</v>
      </c>
      <c r="G15" s="163">
        <v>0</v>
      </c>
      <c r="H15" s="163">
        <v>0</v>
      </c>
      <c r="I15" s="163">
        <v>1</v>
      </c>
      <c r="J15" s="163">
        <v>3</v>
      </c>
    </row>
    <row r="16" spans="2:10" ht="15.75" thickBot="1">
      <c r="B16" s="159" t="s">
        <v>384</v>
      </c>
      <c r="C16" s="162">
        <v>0</v>
      </c>
      <c r="D16" s="162">
        <v>0</v>
      </c>
      <c r="E16" s="162">
        <v>0</v>
      </c>
      <c r="F16" s="162">
        <v>0</v>
      </c>
      <c r="G16" s="163">
        <v>6</v>
      </c>
      <c r="H16" s="163">
        <v>11</v>
      </c>
      <c r="I16" s="163">
        <v>11</v>
      </c>
      <c r="J16" s="163">
        <v>13</v>
      </c>
    </row>
    <row r="17" spans="2:10" ht="15.75" thickBot="1">
      <c r="B17" s="159" t="s">
        <v>385</v>
      </c>
      <c r="C17" s="162">
        <v>0</v>
      </c>
      <c r="D17" s="162">
        <v>0</v>
      </c>
      <c r="E17" s="162">
        <v>0</v>
      </c>
      <c r="F17" s="162">
        <v>0</v>
      </c>
      <c r="G17" s="163">
        <v>5</v>
      </c>
      <c r="H17" s="163">
        <v>6</v>
      </c>
      <c r="I17" s="163">
        <v>11</v>
      </c>
      <c r="J17" s="163">
        <v>11</v>
      </c>
    </row>
    <row r="18" spans="2:10" ht="15.75" thickBot="1">
      <c r="B18" s="159" t="s">
        <v>386</v>
      </c>
      <c r="C18" s="162">
        <v>0</v>
      </c>
      <c r="D18" s="162">
        <v>0</v>
      </c>
      <c r="E18" s="162">
        <v>0</v>
      </c>
      <c r="F18" s="162">
        <v>0</v>
      </c>
      <c r="G18" s="163">
        <v>0</v>
      </c>
      <c r="H18" s="163">
        <v>0</v>
      </c>
      <c r="I18" s="163">
        <v>2</v>
      </c>
      <c r="J18" s="163">
        <v>2</v>
      </c>
    </row>
    <row r="19" spans="2:10" ht="15.75" thickBot="1">
      <c r="B19" s="159" t="s">
        <v>114</v>
      </c>
      <c r="C19" s="162">
        <v>8</v>
      </c>
      <c r="D19" s="162">
        <v>6</v>
      </c>
      <c r="E19" s="162">
        <v>10</v>
      </c>
      <c r="F19" s="162">
        <v>9</v>
      </c>
      <c r="G19" s="163">
        <v>18</v>
      </c>
      <c r="H19" s="163">
        <v>32</v>
      </c>
      <c r="I19" s="163">
        <v>35</v>
      </c>
      <c r="J19" s="163">
        <v>36</v>
      </c>
    </row>
    <row r="20" spans="2:10" ht="15.75" thickBot="1">
      <c r="B20" s="159" t="s">
        <v>116</v>
      </c>
      <c r="C20" s="162">
        <v>0</v>
      </c>
      <c r="D20" s="162">
        <v>0</v>
      </c>
      <c r="E20" s="162">
        <v>1</v>
      </c>
      <c r="F20" s="162">
        <v>1</v>
      </c>
      <c r="G20" s="163">
        <v>1</v>
      </c>
      <c r="H20" s="163">
        <v>6</v>
      </c>
      <c r="I20" s="163">
        <v>9</v>
      </c>
      <c r="J20" s="163">
        <v>10</v>
      </c>
    </row>
    <row r="21" spans="2:10" ht="15.75" thickBot="1">
      <c r="B21" s="159" t="s">
        <v>118</v>
      </c>
      <c r="C21" s="162">
        <v>6</v>
      </c>
      <c r="D21" s="162">
        <v>10</v>
      </c>
      <c r="E21" s="162">
        <v>16</v>
      </c>
      <c r="F21" s="162">
        <v>16</v>
      </c>
      <c r="G21" s="163">
        <v>55</v>
      </c>
      <c r="H21" s="163">
        <v>116</v>
      </c>
      <c r="I21" s="163">
        <v>134</v>
      </c>
      <c r="J21" s="163">
        <v>139</v>
      </c>
    </row>
    <row r="22" spans="2:10" ht="15.75" thickBot="1">
      <c r="B22" s="159" t="s">
        <v>120</v>
      </c>
      <c r="C22" s="162">
        <v>2</v>
      </c>
      <c r="D22" s="162">
        <v>3</v>
      </c>
      <c r="E22" s="162">
        <v>6</v>
      </c>
      <c r="F22" s="162">
        <v>6</v>
      </c>
      <c r="G22" s="163">
        <v>29</v>
      </c>
      <c r="H22" s="163">
        <v>91</v>
      </c>
      <c r="I22" s="163">
        <v>168</v>
      </c>
      <c r="J22" s="163">
        <v>207</v>
      </c>
    </row>
    <row r="23" spans="2:10" ht="15.75" thickBot="1">
      <c r="B23" s="159" t="s">
        <v>122</v>
      </c>
      <c r="C23" s="162">
        <v>0</v>
      </c>
      <c r="D23" s="162">
        <v>0</v>
      </c>
      <c r="E23" s="162">
        <v>0</v>
      </c>
      <c r="F23" s="162">
        <v>0</v>
      </c>
      <c r="G23" s="163">
        <v>13</v>
      </c>
      <c r="H23" s="163">
        <v>42</v>
      </c>
      <c r="I23" s="163">
        <v>66</v>
      </c>
      <c r="J23" s="163">
        <v>87</v>
      </c>
    </row>
    <row r="24" spans="2:10" ht="15.75" thickBot="1">
      <c r="B24" s="159" t="s">
        <v>124</v>
      </c>
      <c r="C24" s="162">
        <v>0</v>
      </c>
      <c r="D24" s="162">
        <v>1</v>
      </c>
      <c r="E24" s="162">
        <v>5</v>
      </c>
      <c r="F24" s="162">
        <v>5</v>
      </c>
      <c r="G24" s="163">
        <v>0</v>
      </c>
      <c r="H24" s="163">
        <v>0</v>
      </c>
      <c r="I24" s="163">
        <v>1</v>
      </c>
      <c r="J24" s="163">
        <v>1</v>
      </c>
    </row>
    <row r="25" spans="2:10" ht="15.75" thickBot="1">
      <c r="B25" s="159" t="s">
        <v>126</v>
      </c>
      <c r="C25" s="162">
        <v>4</v>
      </c>
      <c r="D25" s="162">
        <v>9</v>
      </c>
      <c r="E25" s="162">
        <v>15</v>
      </c>
      <c r="F25" s="162">
        <v>15</v>
      </c>
      <c r="G25" s="163">
        <v>6</v>
      </c>
      <c r="H25" s="163">
        <v>17</v>
      </c>
      <c r="I25" s="163">
        <v>31</v>
      </c>
      <c r="J25" s="163">
        <v>38</v>
      </c>
    </row>
    <row r="26" spans="2:10" ht="15.75" thickBot="1">
      <c r="B26" s="159" t="s">
        <v>128</v>
      </c>
      <c r="C26" s="162">
        <v>0</v>
      </c>
      <c r="D26" s="162">
        <v>0</v>
      </c>
      <c r="E26" s="162">
        <v>0</v>
      </c>
      <c r="F26" s="162">
        <v>0</v>
      </c>
      <c r="G26" s="163">
        <v>23</v>
      </c>
      <c r="H26" s="163">
        <v>59</v>
      </c>
      <c r="I26" s="163">
        <v>71</v>
      </c>
      <c r="J26" s="163">
        <v>77</v>
      </c>
    </row>
    <row r="27" spans="2:10" ht="15.75" thickBot="1">
      <c r="B27" s="159" t="s">
        <v>130</v>
      </c>
      <c r="C27" s="162">
        <v>0</v>
      </c>
      <c r="D27" s="162">
        <v>0</v>
      </c>
      <c r="E27" s="162">
        <v>0</v>
      </c>
      <c r="F27" s="162">
        <v>0</v>
      </c>
      <c r="G27" s="163">
        <v>1</v>
      </c>
      <c r="H27" s="163">
        <v>9</v>
      </c>
      <c r="I27" s="163">
        <v>18</v>
      </c>
      <c r="J27" s="163">
        <v>31</v>
      </c>
    </row>
    <row r="28" spans="2:10" ht="15.75" thickBot="1">
      <c r="B28" s="159" t="s">
        <v>132</v>
      </c>
      <c r="C28" s="162">
        <v>16</v>
      </c>
      <c r="D28" s="162">
        <v>15</v>
      </c>
      <c r="E28" s="162">
        <v>21</v>
      </c>
      <c r="F28" s="162">
        <v>21</v>
      </c>
      <c r="G28" s="163">
        <v>59</v>
      </c>
      <c r="H28" s="163">
        <v>125</v>
      </c>
      <c r="I28" s="163">
        <v>164</v>
      </c>
      <c r="J28" s="163">
        <v>172</v>
      </c>
    </row>
    <row r="29" spans="2:10" ht="15.75" thickBot="1">
      <c r="B29" s="164" t="s">
        <v>391</v>
      </c>
      <c r="C29" s="165">
        <v>54</v>
      </c>
      <c r="D29" s="165">
        <v>63</v>
      </c>
      <c r="E29" s="165">
        <v>104</v>
      </c>
      <c r="F29" s="165">
        <v>107</v>
      </c>
      <c r="G29" s="166">
        <v>299</v>
      </c>
      <c r="H29" s="166">
        <v>662</v>
      </c>
      <c r="I29" s="166">
        <v>922</v>
      </c>
      <c r="J29" s="166">
        <v>1067</v>
      </c>
    </row>
    <row r="30" spans="2:10" ht="15.75">
      <c r="B30" s="167"/>
    </row>
  </sheetData>
  <mergeCells count="3">
    <mergeCell ref="C5:F5"/>
    <mergeCell ref="G5:J5"/>
    <mergeCell ref="B4:J4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BFDD-32A1-4521-B61A-8D3581439595}">
  <sheetPr>
    <tabColor theme="9" tint="0.79998168889431442"/>
  </sheetPr>
  <dimension ref="B2:E29"/>
  <sheetViews>
    <sheetView showGridLines="0" workbookViewId="0">
      <selection activeCell="B2" sqref="B2:C2"/>
    </sheetView>
  </sheetViews>
  <sheetFormatPr defaultColWidth="11.42578125" defaultRowHeight="15"/>
  <cols>
    <col min="2" max="2" width="15" customWidth="1"/>
    <col min="3" max="3" width="42.5703125" customWidth="1"/>
  </cols>
  <sheetData>
    <row r="2" spans="2:5" ht="15.75" thickBot="1">
      <c r="B2" s="223" t="s">
        <v>22</v>
      </c>
      <c r="C2" s="223"/>
      <c r="D2" s="184"/>
      <c r="E2" s="184"/>
    </row>
    <row r="3" spans="2:5" ht="15.75" thickBot="1">
      <c r="B3" s="158" t="s">
        <v>136</v>
      </c>
      <c r="C3" s="183" t="s">
        <v>401</v>
      </c>
    </row>
    <row r="4" spans="2:5" ht="15.75" thickBot="1">
      <c r="B4" s="159" t="s">
        <v>100</v>
      </c>
      <c r="C4" s="185">
        <v>0</v>
      </c>
    </row>
    <row r="5" spans="2:5" ht="15.75" thickBot="1">
      <c r="B5" s="159" t="s">
        <v>402</v>
      </c>
      <c r="C5" s="185">
        <v>850</v>
      </c>
    </row>
    <row r="6" spans="2:5" ht="15.75" thickBot="1">
      <c r="B6" s="159" t="s">
        <v>104</v>
      </c>
      <c r="C6" s="185">
        <v>0</v>
      </c>
    </row>
    <row r="7" spans="2:5" ht="15.75" thickBot="1">
      <c r="B7" s="159" t="s">
        <v>106</v>
      </c>
      <c r="C7" s="185">
        <v>0</v>
      </c>
    </row>
    <row r="8" spans="2:5" ht="15.75" thickBot="1">
      <c r="B8" s="159" t="s">
        <v>403</v>
      </c>
      <c r="C8" s="185">
        <v>120</v>
      </c>
    </row>
    <row r="9" spans="2:5" ht="15.75" thickBot="1">
      <c r="B9" s="159" t="s">
        <v>108</v>
      </c>
      <c r="C9" s="185">
        <v>0</v>
      </c>
    </row>
    <row r="10" spans="2:5" ht="15.75" thickBot="1">
      <c r="B10" s="159" t="s">
        <v>110</v>
      </c>
      <c r="C10" s="185">
        <v>0</v>
      </c>
    </row>
    <row r="11" spans="2:5" ht="15.75" thickBot="1">
      <c r="B11" s="159" t="s">
        <v>381</v>
      </c>
      <c r="C11" s="185">
        <v>973</v>
      </c>
    </row>
    <row r="12" spans="2:5" ht="15.75" thickBot="1">
      <c r="B12" s="159" t="s">
        <v>404</v>
      </c>
      <c r="C12" s="185">
        <v>25000</v>
      </c>
    </row>
    <row r="13" spans="2:5" ht="15.75" thickBot="1">
      <c r="B13" s="159" t="s">
        <v>382</v>
      </c>
      <c r="C13" s="185">
        <v>420</v>
      </c>
    </row>
    <row r="14" spans="2:5" ht="15.75" thickBot="1">
      <c r="B14" s="159" t="s">
        <v>383</v>
      </c>
      <c r="C14" s="185">
        <v>0</v>
      </c>
    </row>
    <row r="15" spans="2:5" ht="15.75" thickBot="1">
      <c r="B15" s="159" t="s">
        <v>384</v>
      </c>
      <c r="C15" s="185">
        <v>200</v>
      </c>
    </row>
    <row r="16" spans="2:5" ht="15.75" thickBot="1">
      <c r="B16" s="159" t="s">
        <v>385</v>
      </c>
      <c r="C16" s="185">
        <v>20</v>
      </c>
    </row>
    <row r="17" spans="2:3" ht="15.75" thickBot="1">
      <c r="B17" s="159" t="s">
        <v>386</v>
      </c>
      <c r="C17" s="185">
        <v>0</v>
      </c>
    </row>
    <row r="18" spans="2:3" ht="15.75" thickBot="1">
      <c r="B18" s="159" t="s">
        <v>114</v>
      </c>
      <c r="C18" s="185">
        <v>7600</v>
      </c>
    </row>
    <row r="19" spans="2:3" ht="15.75" thickBot="1">
      <c r="B19" s="159" t="s">
        <v>116</v>
      </c>
      <c r="C19" s="185">
        <v>0</v>
      </c>
    </row>
    <row r="20" spans="2:3" ht="15.75" thickBot="1">
      <c r="B20" s="159" t="s">
        <v>118</v>
      </c>
      <c r="C20" s="185">
        <v>510</v>
      </c>
    </row>
    <row r="21" spans="2:3" ht="15.75" thickBot="1">
      <c r="B21" s="159" t="s">
        <v>405</v>
      </c>
      <c r="C21" s="185">
        <v>0</v>
      </c>
    </row>
    <row r="22" spans="2:3" ht="15.75" thickBot="1">
      <c r="B22" s="159" t="s">
        <v>120</v>
      </c>
      <c r="C22" s="185">
        <v>4260</v>
      </c>
    </row>
    <row r="23" spans="2:3" ht="15.75" thickBot="1">
      <c r="B23" s="159" t="s">
        <v>122</v>
      </c>
      <c r="C23" s="185">
        <v>0</v>
      </c>
    </row>
    <row r="24" spans="2:3" ht="15.75" thickBot="1">
      <c r="B24" s="159" t="s">
        <v>124</v>
      </c>
      <c r="C24" s="185">
        <v>10400</v>
      </c>
    </row>
    <row r="25" spans="2:3" ht="15.75" thickBot="1">
      <c r="B25" s="159" t="s">
        <v>126</v>
      </c>
      <c r="C25" s="185">
        <v>7500</v>
      </c>
    </row>
    <row r="26" spans="2:3" ht="15.75" thickBot="1">
      <c r="B26" s="159" t="s">
        <v>128</v>
      </c>
      <c r="C26" s="185">
        <v>7240</v>
      </c>
    </row>
    <row r="27" spans="2:3" ht="15.75" thickBot="1">
      <c r="B27" s="159" t="s">
        <v>406</v>
      </c>
      <c r="C27" s="185">
        <v>1100</v>
      </c>
    </row>
    <row r="28" spans="2:3" ht="15.75" thickBot="1">
      <c r="B28" s="159" t="s">
        <v>130</v>
      </c>
      <c r="C28" s="185">
        <v>0</v>
      </c>
    </row>
    <row r="29" spans="2:3" ht="15.75" thickBot="1">
      <c r="B29" s="159" t="s">
        <v>132</v>
      </c>
      <c r="C29" s="185">
        <v>9000</v>
      </c>
    </row>
  </sheetData>
  <mergeCells count="1">
    <mergeCell ref="B2:C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T91"/>
  <sheetViews>
    <sheetView zoomScale="90" zoomScaleNormal="90" workbookViewId="0">
      <selection activeCell="C41" sqref="C41"/>
    </sheetView>
  </sheetViews>
  <sheetFormatPr defaultColWidth="11.42578125" defaultRowHeight="15"/>
  <cols>
    <col min="1" max="1" width="17.140625" bestFit="1" customWidth="1"/>
    <col min="2" max="2" width="28.42578125" bestFit="1" customWidth="1"/>
    <col min="3" max="3" width="16.7109375" bestFit="1" customWidth="1"/>
    <col min="4" max="4" width="40.42578125" style="15" bestFit="1" customWidth="1"/>
    <col min="5" max="5" width="4.7109375" bestFit="1" customWidth="1"/>
    <col min="6" max="14" width="6" bestFit="1" customWidth="1"/>
  </cols>
  <sheetData>
    <row r="1" spans="1:14" ht="15.75" thickBot="1"/>
    <row r="2" spans="1:14" ht="15.75" thickBot="1">
      <c r="A2" s="29" t="s">
        <v>373</v>
      </c>
      <c r="B2" s="7" t="s">
        <v>407</v>
      </c>
      <c r="C2" s="7" t="s">
        <v>408</v>
      </c>
      <c r="D2" s="40" t="s">
        <v>409</v>
      </c>
      <c r="E2" s="41" t="s">
        <v>375</v>
      </c>
      <c r="F2" s="7">
        <v>2015</v>
      </c>
      <c r="G2" s="7">
        <v>2018</v>
      </c>
      <c r="H2" s="7">
        <v>2020</v>
      </c>
      <c r="I2" s="7">
        <v>2025</v>
      </c>
      <c r="J2" s="7">
        <v>2030</v>
      </c>
      <c r="K2" s="7">
        <v>2035</v>
      </c>
      <c r="L2" s="7">
        <v>2040</v>
      </c>
      <c r="M2" s="7">
        <v>2045</v>
      </c>
      <c r="N2" s="41">
        <v>2050</v>
      </c>
    </row>
    <row r="3" spans="1:14">
      <c r="A3" s="21" t="s">
        <v>44</v>
      </c>
      <c r="B3" s="5" t="s">
        <v>410</v>
      </c>
      <c r="C3" s="5" t="s">
        <v>411</v>
      </c>
      <c r="D3" s="5" t="s">
        <v>412</v>
      </c>
      <c r="E3" s="26" t="s">
        <v>413</v>
      </c>
      <c r="F3" s="2">
        <v>100.6</v>
      </c>
      <c r="G3" s="2">
        <v>97.7</v>
      </c>
      <c r="H3" s="2">
        <v>80.8</v>
      </c>
      <c r="I3" s="2">
        <v>86.7</v>
      </c>
      <c r="J3" s="2">
        <v>67.400000000000006</v>
      </c>
      <c r="K3" s="2">
        <v>44.2</v>
      </c>
      <c r="L3" s="2">
        <v>19.2</v>
      </c>
      <c r="M3" s="2">
        <v>7.2</v>
      </c>
      <c r="N3" s="37">
        <v>0</v>
      </c>
    </row>
    <row r="4" spans="1:14">
      <c r="A4" s="39" t="s">
        <v>44</v>
      </c>
      <c r="B4" s="15" t="s">
        <v>410</v>
      </c>
      <c r="C4" s="15" t="s">
        <v>411</v>
      </c>
      <c r="D4" s="15" t="s">
        <v>414</v>
      </c>
      <c r="E4" s="27" t="s">
        <v>413</v>
      </c>
      <c r="F4" s="8">
        <v>0</v>
      </c>
      <c r="G4" s="8">
        <v>0</v>
      </c>
      <c r="H4" s="8">
        <v>0</v>
      </c>
      <c r="I4" s="8">
        <v>1.8</v>
      </c>
      <c r="J4" s="8">
        <v>13.8</v>
      </c>
      <c r="K4" s="8">
        <v>19.2</v>
      </c>
      <c r="L4" s="8">
        <v>19.2</v>
      </c>
      <c r="M4" s="8">
        <v>19.2</v>
      </c>
      <c r="N4" s="36">
        <v>19.2</v>
      </c>
    </row>
    <row r="5" spans="1:14" ht="15.75" thickBot="1">
      <c r="A5" s="30" t="s">
        <v>44</v>
      </c>
      <c r="B5" s="4" t="s">
        <v>410</v>
      </c>
      <c r="C5" s="4" t="s">
        <v>411</v>
      </c>
      <c r="D5" s="4" t="s">
        <v>415</v>
      </c>
      <c r="E5" s="43" t="s">
        <v>413</v>
      </c>
      <c r="F5" s="1">
        <v>64.900000000000006</v>
      </c>
      <c r="G5" s="1">
        <v>68.900000000000006</v>
      </c>
      <c r="H5" s="1">
        <v>57.2</v>
      </c>
      <c r="I5" s="1">
        <v>68.400000000000006</v>
      </c>
      <c r="J5" s="1">
        <v>74.900000000000006</v>
      </c>
      <c r="K5" s="1">
        <v>102.4</v>
      </c>
      <c r="L5" s="1">
        <v>119.5</v>
      </c>
      <c r="M5" s="1">
        <v>123.8</v>
      </c>
      <c r="N5" s="12">
        <v>127.5</v>
      </c>
    </row>
    <row r="6" spans="1:14" ht="15.75" thickTop="1">
      <c r="A6" s="31" t="s">
        <v>44</v>
      </c>
      <c r="B6" s="20" t="s">
        <v>416</v>
      </c>
      <c r="C6" s="20" t="s">
        <v>417</v>
      </c>
      <c r="D6" s="20" t="s">
        <v>418</v>
      </c>
      <c r="E6" s="10" t="s">
        <v>413</v>
      </c>
      <c r="F6" s="13">
        <v>17.2</v>
      </c>
      <c r="G6" s="13">
        <v>17.2</v>
      </c>
      <c r="H6" s="13">
        <v>16.5</v>
      </c>
      <c r="I6" s="13">
        <v>16.399999999999999</v>
      </c>
      <c r="J6" s="13">
        <v>15</v>
      </c>
      <c r="K6" s="13">
        <v>12.5</v>
      </c>
      <c r="L6" s="13">
        <v>8.1999999999999993</v>
      </c>
      <c r="M6" s="13">
        <v>3.7</v>
      </c>
      <c r="N6" s="32">
        <v>0</v>
      </c>
    </row>
    <row r="7" spans="1:14">
      <c r="A7" s="39" t="s">
        <v>44</v>
      </c>
      <c r="B7" s="15" t="s">
        <v>416</v>
      </c>
      <c r="C7" s="15" t="s">
        <v>417</v>
      </c>
      <c r="D7" s="15" t="s">
        <v>419</v>
      </c>
      <c r="E7" s="27" t="s">
        <v>413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36">
        <v>0</v>
      </c>
    </row>
    <row r="8" spans="1:14">
      <c r="A8" s="39" t="s">
        <v>44</v>
      </c>
      <c r="B8" s="15" t="s">
        <v>416</v>
      </c>
      <c r="C8" s="15" t="s">
        <v>420</v>
      </c>
      <c r="D8" s="45" t="s">
        <v>421</v>
      </c>
      <c r="E8" s="27" t="s">
        <v>413</v>
      </c>
      <c r="F8" s="8">
        <v>21.7</v>
      </c>
      <c r="G8" s="8">
        <v>22.8</v>
      </c>
      <c r="H8" s="8">
        <v>21.8</v>
      </c>
      <c r="I8" s="8">
        <v>21.4</v>
      </c>
      <c r="J8" s="8">
        <v>16.399999999999999</v>
      </c>
      <c r="K8" s="8">
        <v>11</v>
      </c>
      <c r="L8" s="8">
        <v>5.9</v>
      </c>
      <c r="M8" s="8">
        <v>1.7</v>
      </c>
      <c r="N8" s="36">
        <v>0</v>
      </c>
    </row>
    <row r="9" spans="1:14">
      <c r="A9" s="39" t="s">
        <v>44</v>
      </c>
      <c r="B9" s="15" t="s">
        <v>416</v>
      </c>
      <c r="C9" s="15" t="s">
        <v>420</v>
      </c>
      <c r="D9" s="33" t="s">
        <v>422</v>
      </c>
      <c r="E9" s="27" t="s">
        <v>413</v>
      </c>
      <c r="F9" s="8">
        <v>0</v>
      </c>
      <c r="G9" s="8">
        <v>0</v>
      </c>
      <c r="H9" s="8">
        <v>0</v>
      </c>
      <c r="I9" s="8">
        <v>0.9</v>
      </c>
      <c r="J9" s="8">
        <v>5.8</v>
      </c>
      <c r="K9" s="8">
        <v>11.4</v>
      </c>
      <c r="L9" s="8">
        <v>17</v>
      </c>
      <c r="M9" s="8">
        <v>22.3</v>
      </c>
      <c r="N9" s="36">
        <v>24.5</v>
      </c>
    </row>
    <row r="10" spans="1:14" ht="15.75" thickBot="1">
      <c r="A10" s="30" t="s">
        <v>44</v>
      </c>
      <c r="B10" s="4" t="s">
        <v>416</v>
      </c>
      <c r="C10" s="4" t="s">
        <v>420</v>
      </c>
      <c r="D10" s="23" t="s">
        <v>423</v>
      </c>
      <c r="E10" s="43" t="s">
        <v>413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2">
        <v>0</v>
      </c>
    </row>
    <row r="11" spans="1:14" ht="15.75" thickTop="1">
      <c r="A11" s="31" t="s">
        <v>44</v>
      </c>
      <c r="B11" s="20" t="s">
        <v>424</v>
      </c>
      <c r="C11" s="20" t="s">
        <v>425</v>
      </c>
      <c r="D11" s="20" t="s">
        <v>426</v>
      </c>
      <c r="E11" s="10" t="s">
        <v>413</v>
      </c>
      <c r="F11" s="13">
        <v>173.3</v>
      </c>
      <c r="G11" s="13">
        <v>177.8</v>
      </c>
      <c r="H11" s="13">
        <v>181.5</v>
      </c>
      <c r="I11" s="13">
        <v>186.7</v>
      </c>
      <c r="J11" s="13">
        <v>187.7</v>
      </c>
      <c r="K11" s="13">
        <v>185</v>
      </c>
      <c r="L11" s="13">
        <v>178.3</v>
      </c>
      <c r="M11" s="13">
        <v>170.5</v>
      </c>
      <c r="N11" s="32">
        <v>163.69999999999999</v>
      </c>
    </row>
    <row r="12" spans="1:14">
      <c r="A12" s="39" t="s">
        <v>44</v>
      </c>
      <c r="B12" s="15" t="s">
        <v>424</v>
      </c>
      <c r="C12" s="15" t="s">
        <v>425</v>
      </c>
      <c r="D12" s="15" t="s">
        <v>427</v>
      </c>
      <c r="E12" s="27" t="s">
        <v>413</v>
      </c>
      <c r="F12" s="8">
        <v>0</v>
      </c>
      <c r="G12" s="8">
        <v>0</v>
      </c>
      <c r="H12" s="8">
        <v>0</v>
      </c>
      <c r="I12" s="8">
        <v>0.4</v>
      </c>
      <c r="J12" s="8">
        <v>0.8</v>
      </c>
      <c r="K12" s="8">
        <v>2.9</v>
      </c>
      <c r="L12" s="8">
        <v>4.8</v>
      </c>
      <c r="M12" s="8">
        <v>7.4</v>
      </c>
      <c r="N12" s="36">
        <v>8.6999999999999993</v>
      </c>
    </row>
    <row r="13" spans="1:14">
      <c r="A13" s="39" t="s">
        <v>44</v>
      </c>
      <c r="B13" s="15" t="s">
        <v>424</v>
      </c>
      <c r="C13" s="15" t="s">
        <v>425</v>
      </c>
      <c r="D13" s="15" t="s">
        <v>428</v>
      </c>
      <c r="E13" s="27" t="s">
        <v>413</v>
      </c>
      <c r="F13" s="8">
        <v>130.6</v>
      </c>
      <c r="G13" s="8">
        <v>132.5</v>
      </c>
      <c r="H13" s="8">
        <v>133.6</v>
      </c>
      <c r="I13" s="8">
        <v>121.6</v>
      </c>
      <c r="J13" s="8">
        <v>109.8</v>
      </c>
      <c r="K13" s="8">
        <v>101.1</v>
      </c>
      <c r="L13" s="8">
        <v>91.2</v>
      </c>
      <c r="M13" s="8">
        <v>81.599999999999994</v>
      </c>
      <c r="N13" s="36">
        <v>72</v>
      </c>
    </row>
    <row r="14" spans="1:14">
      <c r="A14" s="39" t="s">
        <v>44</v>
      </c>
      <c r="B14" s="15" t="s">
        <v>424</v>
      </c>
      <c r="C14" s="15" t="s">
        <v>429</v>
      </c>
      <c r="D14" s="15" t="s">
        <v>430</v>
      </c>
      <c r="E14" s="27" t="s">
        <v>413</v>
      </c>
      <c r="F14" s="8">
        <v>2</v>
      </c>
      <c r="G14" s="8">
        <v>2</v>
      </c>
      <c r="H14" s="8">
        <v>1.9</v>
      </c>
      <c r="I14" s="8">
        <v>1.9</v>
      </c>
      <c r="J14" s="8">
        <v>1.8</v>
      </c>
      <c r="K14" s="8">
        <v>1.7</v>
      </c>
      <c r="L14" s="8">
        <v>1.6</v>
      </c>
      <c r="M14" s="8">
        <v>1.5</v>
      </c>
      <c r="N14" s="36">
        <v>1.4</v>
      </c>
    </row>
    <row r="15" spans="1:14">
      <c r="A15" s="39" t="s">
        <v>44</v>
      </c>
      <c r="B15" s="15" t="s">
        <v>424</v>
      </c>
      <c r="C15" s="15" t="s">
        <v>429</v>
      </c>
      <c r="D15" s="15" t="s">
        <v>431</v>
      </c>
      <c r="E15" s="27" t="s">
        <v>413</v>
      </c>
      <c r="F15" s="8">
        <v>3</v>
      </c>
      <c r="G15" s="8">
        <v>3.2</v>
      </c>
      <c r="H15" s="8">
        <v>3.1</v>
      </c>
      <c r="I15" s="8">
        <v>3.3</v>
      </c>
      <c r="J15" s="8">
        <v>3.4</v>
      </c>
      <c r="K15" s="8">
        <v>3.5</v>
      </c>
      <c r="L15" s="8">
        <v>3.6</v>
      </c>
      <c r="M15" s="8">
        <v>3.8</v>
      </c>
      <c r="N15" s="36">
        <v>3.9</v>
      </c>
    </row>
    <row r="16" spans="1:14">
      <c r="A16" s="39" t="s">
        <v>44</v>
      </c>
      <c r="B16" s="15" t="s">
        <v>424</v>
      </c>
      <c r="C16" s="15" t="s">
        <v>432</v>
      </c>
      <c r="D16" s="15" t="s">
        <v>433</v>
      </c>
      <c r="E16" s="27" t="s">
        <v>413</v>
      </c>
      <c r="F16" s="34">
        <v>21.773039000000001</v>
      </c>
      <c r="G16" s="34">
        <v>22.080639999999999</v>
      </c>
      <c r="H16" s="34">
        <v>21.800556</v>
      </c>
      <c r="I16" s="34">
        <v>22.490831</v>
      </c>
      <c r="J16" s="34">
        <v>23.366875</v>
      </c>
      <c r="K16" s="34">
        <v>24.589208999999997</v>
      </c>
      <c r="L16" s="34">
        <v>25.898931999999999</v>
      </c>
      <c r="M16" s="34">
        <v>29.241260000000004</v>
      </c>
      <c r="N16" s="14">
        <v>32.102505999999998</v>
      </c>
    </row>
    <row r="17" spans="1:14">
      <c r="A17" s="39" t="s">
        <v>44</v>
      </c>
      <c r="B17" s="15" t="s">
        <v>424</v>
      </c>
      <c r="C17" s="15" t="s">
        <v>432</v>
      </c>
      <c r="D17" s="15" t="s">
        <v>434</v>
      </c>
      <c r="E17" s="27" t="s">
        <v>413</v>
      </c>
      <c r="F17" s="8">
        <v>2.6</v>
      </c>
      <c r="G17" s="8">
        <v>2.8</v>
      </c>
      <c r="H17" s="8">
        <v>2.7</v>
      </c>
      <c r="I17" s="8">
        <v>2.9</v>
      </c>
      <c r="J17" s="8">
        <v>3</v>
      </c>
      <c r="K17" s="8">
        <v>3</v>
      </c>
      <c r="L17" s="8">
        <v>3</v>
      </c>
      <c r="M17" s="8">
        <v>3.1</v>
      </c>
      <c r="N17" s="36">
        <v>3.1</v>
      </c>
    </row>
    <row r="18" spans="1:14">
      <c r="A18" s="39" t="s">
        <v>44</v>
      </c>
      <c r="B18" s="15" t="s">
        <v>424</v>
      </c>
      <c r="C18" s="15" t="s">
        <v>432</v>
      </c>
      <c r="D18" s="15" t="s">
        <v>435</v>
      </c>
      <c r="E18" s="27" t="s">
        <v>413</v>
      </c>
      <c r="F18" s="8">
        <v>12.8</v>
      </c>
      <c r="G18" s="8">
        <v>13.1</v>
      </c>
      <c r="H18" s="8">
        <v>13</v>
      </c>
      <c r="I18" s="8">
        <v>14.1</v>
      </c>
      <c r="J18" s="8">
        <v>13.5</v>
      </c>
      <c r="K18" s="8">
        <v>11.8</v>
      </c>
      <c r="L18" s="8">
        <v>10.1</v>
      </c>
      <c r="M18" s="8">
        <v>6.4</v>
      </c>
      <c r="N18" s="36">
        <v>3.2</v>
      </c>
    </row>
    <row r="19" spans="1:14" ht="15.75" thickBot="1">
      <c r="A19" s="30" t="s">
        <v>44</v>
      </c>
      <c r="B19" s="4" t="s">
        <v>424</v>
      </c>
      <c r="C19" s="4" t="s">
        <v>432</v>
      </c>
      <c r="D19" s="4" t="s">
        <v>436</v>
      </c>
      <c r="E19" s="43" t="s">
        <v>413</v>
      </c>
      <c r="F19" s="1">
        <v>1.7</v>
      </c>
      <c r="G19" s="1">
        <v>1.7</v>
      </c>
      <c r="H19" s="1">
        <v>1.7</v>
      </c>
      <c r="I19" s="1">
        <v>1.9</v>
      </c>
      <c r="J19" s="1">
        <v>2</v>
      </c>
      <c r="K19" s="1">
        <v>2</v>
      </c>
      <c r="L19" s="1">
        <v>2</v>
      </c>
      <c r="M19" s="1">
        <v>2.1</v>
      </c>
      <c r="N19" s="12">
        <v>2.1</v>
      </c>
    </row>
    <row r="20" spans="1:14" ht="16.5" thickTop="1" thickBot="1">
      <c r="A20" s="6" t="s">
        <v>44</v>
      </c>
      <c r="B20" s="3" t="s">
        <v>437</v>
      </c>
      <c r="C20" s="3" t="s">
        <v>438</v>
      </c>
      <c r="D20" s="3" t="s">
        <v>439</v>
      </c>
      <c r="E20" s="25" t="s">
        <v>413</v>
      </c>
      <c r="F20" s="17">
        <v>93.9</v>
      </c>
      <c r="G20" s="17">
        <v>95.8</v>
      </c>
      <c r="H20" s="17">
        <v>96.8</v>
      </c>
      <c r="I20" s="17">
        <v>100.8</v>
      </c>
      <c r="J20" s="17">
        <v>102.8</v>
      </c>
      <c r="K20" s="17">
        <v>103.8</v>
      </c>
      <c r="L20" s="17">
        <v>104.4</v>
      </c>
      <c r="M20" s="17">
        <v>104.9</v>
      </c>
      <c r="N20" s="9">
        <v>105.1</v>
      </c>
    </row>
    <row r="21" spans="1:14">
      <c r="A21" s="21" t="s">
        <v>46</v>
      </c>
      <c r="B21" s="5" t="s">
        <v>410</v>
      </c>
      <c r="C21" s="5" t="s">
        <v>411</v>
      </c>
      <c r="D21" s="5" t="s">
        <v>412</v>
      </c>
      <c r="E21" s="26" t="s">
        <v>413</v>
      </c>
      <c r="F21" s="2">
        <v>100.6</v>
      </c>
      <c r="G21" s="2">
        <v>97.7</v>
      </c>
      <c r="H21" s="2">
        <v>80.8</v>
      </c>
      <c r="I21" s="2">
        <v>86.7</v>
      </c>
      <c r="J21" s="2">
        <v>67.400000000000006</v>
      </c>
      <c r="K21" s="2">
        <v>44.2</v>
      </c>
      <c r="L21" s="2">
        <v>19.2</v>
      </c>
      <c r="M21" s="2">
        <v>7.2</v>
      </c>
      <c r="N21" s="37">
        <v>0</v>
      </c>
    </row>
    <row r="22" spans="1:14">
      <c r="A22" s="39" t="s">
        <v>46</v>
      </c>
      <c r="B22" s="15" t="s">
        <v>410</v>
      </c>
      <c r="C22" s="15" t="s">
        <v>411</v>
      </c>
      <c r="D22" s="15" t="s">
        <v>414</v>
      </c>
      <c r="E22" s="27" t="s">
        <v>413</v>
      </c>
      <c r="F22" s="8">
        <v>0</v>
      </c>
      <c r="G22" s="8">
        <v>0</v>
      </c>
      <c r="H22" s="8">
        <v>0</v>
      </c>
      <c r="I22" s="8">
        <v>1.8</v>
      </c>
      <c r="J22" s="8">
        <v>13.8</v>
      </c>
      <c r="K22" s="8">
        <v>33.700000000000003</v>
      </c>
      <c r="L22" s="8">
        <v>47.9</v>
      </c>
      <c r="M22" s="8">
        <v>53.1</v>
      </c>
      <c r="N22" s="36">
        <v>55.8</v>
      </c>
    </row>
    <row r="23" spans="1:14" ht="15.75" thickBot="1">
      <c r="A23" s="30" t="s">
        <v>46</v>
      </c>
      <c r="B23" s="4" t="s">
        <v>410</v>
      </c>
      <c r="C23" s="4" t="s">
        <v>411</v>
      </c>
      <c r="D23" s="4" t="s">
        <v>440</v>
      </c>
      <c r="E23" s="43" t="s">
        <v>413</v>
      </c>
      <c r="F23" s="1">
        <v>64.900000000000006</v>
      </c>
      <c r="G23" s="1">
        <v>68.900000000000006</v>
      </c>
      <c r="H23" s="1">
        <v>57.2</v>
      </c>
      <c r="I23" s="1">
        <v>68.400000000000006</v>
      </c>
      <c r="J23" s="1">
        <v>74.900000000000006</v>
      </c>
      <c r="K23" s="1">
        <v>81</v>
      </c>
      <c r="L23" s="1">
        <v>87.1</v>
      </c>
      <c r="M23" s="1">
        <v>91.5</v>
      </c>
      <c r="N23" s="12">
        <v>95.1</v>
      </c>
    </row>
    <row r="24" spans="1:14" ht="15.75" thickTop="1">
      <c r="A24" s="31" t="s">
        <v>46</v>
      </c>
      <c r="B24" s="20" t="s">
        <v>416</v>
      </c>
      <c r="C24" s="20" t="s">
        <v>417</v>
      </c>
      <c r="D24" s="20" t="s">
        <v>418</v>
      </c>
      <c r="E24" s="10" t="s">
        <v>413</v>
      </c>
      <c r="F24" s="13">
        <v>17.2</v>
      </c>
      <c r="G24" s="13">
        <v>17.2</v>
      </c>
      <c r="H24" s="13">
        <v>16.5</v>
      </c>
      <c r="I24" s="13">
        <v>16.399999999999999</v>
      </c>
      <c r="J24" s="13">
        <v>15</v>
      </c>
      <c r="K24" s="13">
        <v>12.5</v>
      </c>
      <c r="L24" s="13">
        <v>8.1999999999999993</v>
      </c>
      <c r="M24" s="13">
        <v>3.7</v>
      </c>
      <c r="N24" s="32">
        <v>0</v>
      </c>
    </row>
    <row r="25" spans="1:14">
      <c r="A25" s="39" t="s">
        <v>46</v>
      </c>
      <c r="B25" s="15" t="s">
        <v>416</v>
      </c>
      <c r="C25" s="15" t="s">
        <v>417</v>
      </c>
      <c r="D25" s="15" t="s">
        <v>419</v>
      </c>
      <c r="E25" s="27" t="s">
        <v>413</v>
      </c>
      <c r="F25" s="8">
        <v>0</v>
      </c>
      <c r="G25" s="8">
        <v>0</v>
      </c>
      <c r="H25" s="8">
        <v>0</v>
      </c>
      <c r="I25" s="8">
        <v>0.1</v>
      </c>
      <c r="J25" s="8">
        <v>1.1000000000000001</v>
      </c>
      <c r="K25" s="8">
        <v>3.1</v>
      </c>
      <c r="L25" s="8">
        <v>7</v>
      </c>
      <c r="M25" s="8">
        <v>11</v>
      </c>
      <c r="N25" s="36">
        <v>14.3</v>
      </c>
    </row>
    <row r="26" spans="1:14">
      <c r="A26" s="39" t="s">
        <v>46</v>
      </c>
      <c r="B26" s="15" t="s">
        <v>416</v>
      </c>
      <c r="C26" s="15" t="s">
        <v>420</v>
      </c>
      <c r="D26" s="33" t="s">
        <v>421</v>
      </c>
      <c r="E26" s="27" t="s">
        <v>413</v>
      </c>
      <c r="F26" s="8">
        <v>21.732579000000001</v>
      </c>
      <c r="G26" s="8">
        <v>22.819862000000001</v>
      </c>
      <c r="H26" s="8">
        <v>21.809398999999999</v>
      </c>
      <c r="I26" s="8">
        <v>22.348538999999999</v>
      </c>
      <c r="J26" s="8">
        <v>21.353833999999999</v>
      </c>
      <c r="K26" s="8">
        <v>13.3082824</v>
      </c>
      <c r="L26" s="8">
        <v>6.8743134000000001</v>
      </c>
      <c r="M26" s="8">
        <v>1.7301209999999987</v>
      </c>
      <c r="N26" s="36">
        <v>0</v>
      </c>
    </row>
    <row r="27" spans="1:14">
      <c r="A27" s="39" t="s">
        <v>46</v>
      </c>
      <c r="B27" s="15" t="s">
        <v>416</v>
      </c>
      <c r="C27" s="15" t="s">
        <v>420</v>
      </c>
      <c r="D27" s="33" t="s">
        <v>422</v>
      </c>
      <c r="E27" s="27" t="s">
        <v>413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5.7035495999999997</v>
      </c>
      <c r="L27" s="8">
        <v>8.4019385999999994</v>
      </c>
      <c r="M27" s="8">
        <v>6.9204840000000019</v>
      </c>
      <c r="N27" s="36">
        <v>4.0904579999999999</v>
      </c>
    </row>
    <row r="28" spans="1:14" ht="15.75" thickBot="1">
      <c r="A28" s="30" t="s">
        <v>46</v>
      </c>
      <c r="B28" s="4" t="s">
        <v>416</v>
      </c>
      <c r="C28" s="4" t="s">
        <v>420</v>
      </c>
      <c r="D28" s="23" t="s">
        <v>423</v>
      </c>
      <c r="E28" s="43" t="s">
        <v>413</v>
      </c>
      <c r="F28" s="1">
        <v>0</v>
      </c>
      <c r="G28" s="1">
        <v>0</v>
      </c>
      <c r="H28" s="1">
        <v>0</v>
      </c>
      <c r="I28" s="1">
        <v>0</v>
      </c>
      <c r="J28" s="1">
        <v>0.9</v>
      </c>
      <c r="K28" s="1">
        <v>3.4</v>
      </c>
      <c r="L28" s="1">
        <v>7.6</v>
      </c>
      <c r="M28" s="1">
        <v>15.3</v>
      </c>
      <c r="N28" s="12">
        <v>20.399999999999999</v>
      </c>
    </row>
    <row r="29" spans="1:14" ht="15.75" thickTop="1">
      <c r="A29" s="31" t="s">
        <v>46</v>
      </c>
      <c r="B29" s="20" t="s">
        <v>424</v>
      </c>
      <c r="C29" s="20" t="s">
        <v>425</v>
      </c>
      <c r="D29" s="20" t="s">
        <v>426</v>
      </c>
      <c r="E29" s="10" t="s">
        <v>413</v>
      </c>
      <c r="F29" s="13">
        <v>173.3</v>
      </c>
      <c r="G29" s="13">
        <v>177.8</v>
      </c>
      <c r="H29" s="13">
        <v>181.5</v>
      </c>
      <c r="I29" s="13">
        <v>186.7</v>
      </c>
      <c r="J29" s="13">
        <v>187.7</v>
      </c>
      <c r="K29" s="13">
        <v>185</v>
      </c>
      <c r="L29" s="13">
        <v>178.3</v>
      </c>
      <c r="M29" s="13">
        <v>170.5</v>
      </c>
      <c r="N29" s="32">
        <v>163.69999999999999</v>
      </c>
    </row>
    <row r="30" spans="1:14">
      <c r="A30" s="39" t="s">
        <v>46</v>
      </c>
      <c r="B30" s="15" t="s">
        <v>424</v>
      </c>
      <c r="C30" s="15" t="s">
        <v>425</v>
      </c>
      <c r="D30" s="15" t="s">
        <v>427</v>
      </c>
      <c r="E30" s="27" t="s">
        <v>413</v>
      </c>
      <c r="F30" s="8">
        <v>0</v>
      </c>
      <c r="G30" s="8">
        <v>0</v>
      </c>
      <c r="H30" s="8">
        <v>0</v>
      </c>
      <c r="I30" s="8">
        <v>0.4</v>
      </c>
      <c r="J30" s="8">
        <v>0.8</v>
      </c>
      <c r="K30" s="8">
        <v>2.9</v>
      </c>
      <c r="L30" s="8">
        <v>4.8</v>
      </c>
      <c r="M30" s="8">
        <v>7.4</v>
      </c>
      <c r="N30" s="36">
        <v>8.6999999999999993</v>
      </c>
    </row>
    <row r="31" spans="1:14">
      <c r="A31" s="39" t="s">
        <v>46</v>
      </c>
      <c r="B31" s="15" t="s">
        <v>424</v>
      </c>
      <c r="C31" s="15" t="s">
        <v>425</v>
      </c>
      <c r="D31" s="15" t="s">
        <v>428</v>
      </c>
      <c r="E31" s="27" t="s">
        <v>413</v>
      </c>
      <c r="F31" s="8">
        <v>130.6</v>
      </c>
      <c r="G31" s="8">
        <v>132.5</v>
      </c>
      <c r="H31" s="8">
        <v>133.6</v>
      </c>
      <c r="I31" s="8">
        <v>121.6</v>
      </c>
      <c r="J31" s="8">
        <v>109.8</v>
      </c>
      <c r="K31" s="8">
        <v>101.1</v>
      </c>
      <c r="L31" s="8">
        <v>91.2</v>
      </c>
      <c r="M31" s="8">
        <v>81.599999999999994</v>
      </c>
      <c r="N31" s="36">
        <v>72</v>
      </c>
    </row>
    <row r="32" spans="1:14">
      <c r="A32" s="39" t="s">
        <v>46</v>
      </c>
      <c r="B32" s="15" t="s">
        <v>424</v>
      </c>
      <c r="C32" s="15" t="s">
        <v>429</v>
      </c>
      <c r="D32" s="15" t="s">
        <v>430</v>
      </c>
      <c r="E32" s="27" t="s">
        <v>413</v>
      </c>
      <c r="F32" s="8">
        <v>2</v>
      </c>
      <c r="G32" s="8">
        <v>2</v>
      </c>
      <c r="H32" s="8">
        <v>1.9</v>
      </c>
      <c r="I32" s="8">
        <v>1.9</v>
      </c>
      <c r="J32" s="8">
        <v>1.8</v>
      </c>
      <c r="K32" s="8">
        <v>1.7</v>
      </c>
      <c r="L32" s="8">
        <v>1.6</v>
      </c>
      <c r="M32" s="8">
        <v>1.5</v>
      </c>
      <c r="N32" s="36">
        <v>1.4</v>
      </c>
    </row>
    <row r="33" spans="1:14">
      <c r="A33" s="39" t="s">
        <v>46</v>
      </c>
      <c r="B33" s="15" t="s">
        <v>424</v>
      </c>
      <c r="C33" s="15" t="s">
        <v>429</v>
      </c>
      <c r="D33" s="15" t="s">
        <v>431</v>
      </c>
      <c r="E33" s="27" t="s">
        <v>413</v>
      </c>
      <c r="F33" s="8">
        <v>3</v>
      </c>
      <c r="G33" s="8">
        <v>3.2</v>
      </c>
      <c r="H33" s="8">
        <v>3.1</v>
      </c>
      <c r="I33" s="8">
        <v>3.3</v>
      </c>
      <c r="J33" s="8">
        <v>3.4</v>
      </c>
      <c r="K33" s="8">
        <v>3.5</v>
      </c>
      <c r="L33" s="8">
        <v>3.6</v>
      </c>
      <c r="M33" s="8">
        <v>3.8</v>
      </c>
      <c r="N33" s="36">
        <v>3.9</v>
      </c>
    </row>
    <row r="34" spans="1:14">
      <c r="A34" s="39" t="s">
        <v>46</v>
      </c>
      <c r="B34" s="15" t="s">
        <v>424</v>
      </c>
      <c r="C34" s="15" t="s">
        <v>432</v>
      </c>
      <c r="D34" s="15" t="s">
        <v>433</v>
      </c>
      <c r="E34" s="27" t="s">
        <v>413</v>
      </c>
      <c r="F34" s="34">
        <v>21.773039000000001</v>
      </c>
      <c r="G34" s="34">
        <v>22.080639999999999</v>
      </c>
      <c r="H34" s="34">
        <v>21.800556</v>
      </c>
      <c r="I34" s="34">
        <v>22.490831</v>
      </c>
      <c r="J34" s="34">
        <v>23.366875</v>
      </c>
      <c r="K34" s="34">
        <v>24.589208999999997</v>
      </c>
      <c r="L34" s="34">
        <v>25.898931999999999</v>
      </c>
      <c r="M34" s="34">
        <v>29.241260000000004</v>
      </c>
      <c r="N34" s="14">
        <v>32.102505999999998</v>
      </c>
    </row>
    <row r="35" spans="1:14">
      <c r="A35" s="39" t="s">
        <v>46</v>
      </c>
      <c r="B35" s="15" t="s">
        <v>424</v>
      </c>
      <c r="C35" s="15" t="s">
        <v>432</v>
      </c>
      <c r="D35" s="15" t="s">
        <v>434</v>
      </c>
      <c r="E35" s="27" t="s">
        <v>413</v>
      </c>
      <c r="F35" s="8">
        <v>2.6</v>
      </c>
      <c r="G35" s="8">
        <v>2.8</v>
      </c>
      <c r="H35" s="8">
        <v>2.7</v>
      </c>
      <c r="I35" s="8">
        <v>2.9</v>
      </c>
      <c r="J35" s="8">
        <v>3</v>
      </c>
      <c r="K35" s="8">
        <v>3</v>
      </c>
      <c r="L35" s="8">
        <v>3</v>
      </c>
      <c r="M35" s="8">
        <v>3.1</v>
      </c>
      <c r="N35" s="36">
        <v>3.1</v>
      </c>
    </row>
    <row r="36" spans="1:14">
      <c r="A36" s="39" t="s">
        <v>46</v>
      </c>
      <c r="B36" s="15" t="s">
        <v>424</v>
      </c>
      <c r="C36" s="15" t="s">
        <v>432</v>
      </c>
      <c r="D36" s="15" t="s">
        <v>435</v>
      </c>
      <c r="E36" s="27" t="s">
        <v>413</v>
      </c>
      <c r="F36" s="8">
        <v>12.8</v>
      </c>
      <c r="G36" s="8">
        <v>13.1</v>
      </c>
      <c r="H36" s="8">
        <v>13</v>
      </c>
      <c r="I36" s="8">
        <v>14.1</v>
      </c>
      <c r="J36" s="8">
        <v>13.5</v>
      </c>
      <c r="K36" s="8">
        <v>11.8</v>
      </c>
      <c r="L36" s="8">
        <v>10.1</v>
      </c>
      <c r="M36" s="8">
        <v>6.4</v>
      </c>
      <c r="N36" s="36">
        <v>3.2</v>
      </c>
    </row>
    <row r="37" spans="1:14" ht="15.75" thickBot="1">
      <c r="A37" s="30" t="s">
        <v>46</v>
      </c>
      <c r="B37" s="4" t="s">
        <v>424</v>
      </c>
      <c r="C37" s="4" t="s">
        <v>432</v>
      </c>
      <c r="D37" s="4" t="s">
        <v>436</v>
      </c>
      <c r="E37" s="43" t="s">
        <v>413</v>
      </c>
      <c r="F37" s="1">
        <v>1.7</v>
      </c>
      <c r="G37" s="1">
        <v>1.7</v>
      </c>
      <c r="H37" s="1">
        <v>1.7</v>
      </c>
      <c r="I37" s="1">
        <v>1.9</v>
      </c>
      <c r="J37" s="1">
        <v>2</v>
      </c>
      <c r="K37" s="1">
        <v>2</v>
      </c>
      <c r="L37" s="1">
        <v>2</v>
      </c>
      <c r="M37" s="1">
        <v>2.1</v>
      </c>
      <c r="N37" s="12">
        <v>2.1</v>
      </c>
    </row>
    <row r="38" spans="1:14" ht="16.5" thickTop="1" thickBot="1">
      <c r="A38" s="39" t="s">
        <v>46</v>
      </c>
      <c r="B38" s="15" t="s">
        <v>437</v>
      </c>
      <c r="C38" s="15" t="s">
        <v>438</v>
      </c>
      <c r="D38" s="15" t="s">
        <v>439</v>
      </c>
      <c r="E38" s="27" t="s">
        <v>413</v>
      </c>
      <c r="F38" s="8">
        <v>93.9</v>
      </c>
      <c r="G38" s="8">
        <v>95.8</v>
      </c>
      <c r="H38" s="8">
        <v>96.8</v>
      </c>
      <c r="I38" s="8">
        <v>100.8</v>
      </c>
      <c r="J38" s="8">
        <v>102.8</v>
      </c>
      <c r="K38" s="8">
        <v>103.8</v>
      </c>
      <c r="L38" s="8">
        <v>104.4</v>
      </c>
      <c r="M38" s="8">
        <v>104.9</v>
      </c>
      <c r="N38" s="36">
        <v>105.1</v>
      </c>
    </row>
    <row r="39" spans="1:14">
      <c r="A39" s="21" t="s">
        <v>48</v>
      </c>
      <c r="B39" s="5" t="s">
        <v>410</v>
      </c>
      <c r="C39" s="5" t="s">
        <v>411</v>
      </c>
      <c r="D39" s="5" t="s">
        <v>412</v>
      </c>
      <c r="E39" s="26" t="s">
        <v>413</v>
      </c>
      <c r="F39" s="2">
        <v>100.6</v>
      </c>
      <c r="G39" s="2">
        <v>97.7</v>
      </c>
      <c r="H39" s="2">
        <v>80.8</v>
      </c>
      <c r="I39" s="2">
        <v>86.7</v>
      </c>
      <c r="J39" s="2">
        <v>67.400000000000006</v>
      </c>
      <c r="K39" s="2">
        <v>44.2</v>
      </c>
      <c r="L39" s="2">
        <v>19.2</v>
      </c>
      <c r="M39" s="2">
        <v>7.2</v>
      </c>
      <c r="N39" s="37">
        <v>0</v>
      </c>
    </row>
    <row r="40" spans="1:14">
      <c r="A40" s="39" t="s">
        <v>48</v>
      </c>
      <c r="B40" s="15" t="s">
        <v>410</v>
      </c>
      <c r="C40" s="15" t="s">
        <v>411</v>
      </c>
      <c r="D40" s="15" t="s">
        <v>414</v>
      </c>
      <c r="E40" s="27" t="s">
        <v>413</v>
      </c>
      <c r="F40" s="8">
        <v>0</v>
      </c>
      <c r="G40" s="8">
        <v>0</v>
      </c>
      <c r="H40" s="8">
        <v>0</v>
      </c>
      <c r="I40" s="8">
        <v>1.8</v>
      </c>
      <c r="J40" s="8">
        <v>13.8</v>
      </c>
      <c r="K40" s="8">
        <v>33.700000000000003</v>
      </c>
      <c r="L40" s="8">
        <v>47.9</v>
      </c>
      <c r="M40" s="8">
        <v>53.1</v>
      </c>
      <c r="N40" s="36">
        <v>55.8</v>
      </c>
    </row>
    <row r="41" spans="1:14">
      <c r="A41" s="39" t="s">
        <v>48</v>
      </c>
      <c r="B41" s="15" t="s">
        <v>410</v>
      </c>
      <c r="C41" s="15" t="s">
        <v>411</v>
      </c>
      <c r="D41" s="15" t="s">
        <v>440</v>
      </c>
      <c r="E41" s="27" t="s">
        <v>413</v>
      </c>
      <c r="F41" s="8">
        <v>64.900000000000006</v>
      </c>
      <c r="G41" s="8">
        <v>68.900000000000006</v>
      </c>
      <c r="H41" s="8">
        <v>57.2</v>
      </c>
      <c r="I41" s="8">
        <v>68.400000000000006</v>
      </c>
      <c r="J41" s="8">
        <v>74.900000000000006</v>
      </c>
      <c r="K41" s="8">
        <v>81</v>
      </c>
      <c r="L41" s="8">
        <v>87.1</v>
      </c>
      <c r="M41" s="8">
        <v>91.5</v>
      </c>
      <c r="N41" s="36">
        <v>95.1</v>
      </c>
    </row>
    <row r="42" spans="1:14" ht="15.75" thickBot="1">
      <c r="A42" s="30" t="s">
        <v>48</v>
      </c>
      <c r="B42" s="4" t="s">
        <v>410</v>
      </c>
      <c r="C42" s="4" t="s">
        <v>411</v>
      </c>
      <c r="D42" s="4" t="s">
        <v>441</v>
      </c>
      <c r="E42" s="43" t="s">
        <v>413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2">
        <v>0</v>
      </c>
    </row>
    <row r="43" spans="1:14" ht="15.75" thickTop="1">
      <c r="A43" s="31" t="s">
        <v>48</v>
      </c>
      <c r="B43" s="20" t="s">
        <v>416</v>
      </c>
      <c r="C43" s="20" t="s">
        <v>417</v>
      </c>
      <c r="D43" s="20" t="s">
        <v>418</v>
      </c>
      <c r="E43" s="10" t="s">
        <v>413</v>
      </c>
      <c r="F43" s="13">
        <v>17.2</v>
      </c>
      <c r="G43" s="13">
        <v>17.2</v>
      </c>
      <c r="H43" s="13">
        <v>16.5</v>
      </c>
      <c r="I43" s="13">
        <v>16.399999999999999</v>
      </c>
      <c r="J43" s="13">
        <v>15</v>
      </c>
      <c r="K43" s="13">
        <v>12.5</v>
      </c>
      <c r="L43" s="13">
        <v>8.1999999999999993</v>
      </c>
      <c r="M43" s="13">
        <v>3.7</v>
      </c>
      <c r="N43" s="32">
        <v>0</v>
      </c>
    </row>
    <row r="44" spans="1:14">
      <c r="A44" s="39" t="s">
        <v>48</v>
      </c>
      <c r="B44" s="15" t="s">
        <v>416</v>
      </c>
      <c r="C44" s="15" t="s">
        <v>417</v>
      </c>
      <c r="D44" s="45" t="s">
        <v>419</v>
      </c>
      <c r="E44" s="27" t="s">
        <v>413</v>
      </c>
      <c r="F44" s="8">
        <v>0</v>
      </c>
      <c r="G44" s="8">
        <v>0</v>
      </c>
      <c r="H44" s="8">
        <v>0</v>
      </c>
      <c r="I44" s="8">
        <v>0.1</v>
      </c>
      <c r="J44" s="8">
        <v>1.1000000000000001</v>
      </c>
      <c r="K44" s="8">
        <v>3.1</v>
      </c>
      <c r="L44" s="8">
        <v>7</v>
      </c>
      <c r="M44" s="8">
        <v>11</v>
      </c>
      <c r="N44" s="36">
        <v>14.3</v>
      </c>
    </row>
    <row r="45" spans="1:14">
      <c r="A45" s="39" t="s">
        <v>48</v>
      </c>
      <c r="B45" s="15" t="s">
        <v>416</v>
      </c>
      <c r="C45" s="15" t="s">
        <v>420</v>
      </c>
      <c r="D45" s="45" t="s">
        <v>421</v>
      </c>
      <c r="E45" s="27" t="s">
        <v>413</v>
      </c>
      <c r="F45" s="8">
        <v>21.732579000000001</v>
      </c>
      <c r="G45" s="8">
        <v>22.819862000000001</v>
      </c>
      <c r="H45" s="8">
        <v>21.809398999999999</v>
      </c>
      <c r="I45" s="8">
        <v>22.348538999999999</v>
      </c>
      <c r="J45" s="8">
        <v>21.353833999999999</v>
      </c>
      <c r="K45" s="8">
        <v>13.3082824</v>
      </c>
      <c r="L45" s="8">
        <v>6.8743134000000001</v>
      </c>
      <c r="M45" s="8">
        <v>1.7301209999999987</v>
      </c>
      <c r="N45" s="36">
        <v>0</v>
      </c>
    </row>
    <row r="46" spans="1:14">
      <c r="A46" s="39" t="s">
        <v>48</v>
      </c>
      <c r="B46" s="15" t="s">
        <v>416</v>
      </c>
      <c r="C46" s="15" t="s">
        <v>420</v>
      </c>
      <c r="D46" s="33" t="s">
        <v>422</v>
      </c>
      <c r="E46" s="27" t="s">
        <v>413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5.7035495999999997</v>
      </c>
      <c r="L46" s="8">
        <v>8.4019385999999994</v>
      </c>
      <c r="M46" s="8">
        <v>6.9204840000000019</v>
      </c>
      <c r="N46" s="36">
        <v>4.0904579999999999</v>
      </c>
    </row>
    <row r="47" spans="1:14" ht="15.75" thickBot="1">
      <c r="A47" s="30" t="s">
        <v>48</v>
      </c>
      <c r="B47" s="4" t="s">
        <v>416</v>
      </c>
      <c r="C47" s="4" t="s">
        <v>420</v>
      </c>
      <c r="D47" s="4" t="s">
        <v>423</v>
      </c>
      <c r="E47" s="43" t="s">
        <v>413</v>
      </c>
      <c r="F47" s="1">
        <v>0</v>
      </c>
      <c r="G47" s="1">
        <v>0</v>
      </c>
      <c r="H47" s="1">
        <v>0</v>
      </c>
      <c r="I47" s="1">
        <v>0</v>
      </c>
      <c r="J47" s="1">
        <v>0.87745099999999998</v>
      </c>
      <c r="K47" s="1">
        <v>3.3968729999999998</v>
      </c>
      <c r="L47" s="1">
        <v>7.5571409999999997</v>
      </c>
      <c r="M47" s="1">
        <v>15.29386</v>
      </c>
      <c r="N47" s="12">
        <v>20.377222</v>
      </c>
    </row>
    <row r="48" spans="1:14" ht="15.75" thickTop="1">
      <c r="A48" s="31" t="s">
        <v>48</v>
      </c>
      <c r="B48" s="20" t="s">
        <v>424</v>
      </c>
      <c r="C48" s="20" t="s">
        <v>425</v>
      </c>
      <c r="D48" s="20" t="s">
        <v>426</v>
      </c>
      <c r="E48" s="10" t="s">
        <v>413</v>
      </c>
      <c r="F48" s="13">
        <v>167.8</v>
      </c>
      <c r="G48" s="13">
        <v>172</v>
      </c>
      <c r="H48" s="13">
        <v>175.5</v>
      </c>
      <c r="I48" s="13">
        <v>180.4</v>
      </c>
      <c r="J48" s="13">
        <v>181</v>
      </c>
      <c r="K48" s="13">
        <v>178.3</v>
      </c>
      <c r="L48" s="13">
        <v>171.8</v>
      </c>
      <c r="M48" s="13">
        <v>164.8</v>
      </c>
      <c r="N48" s="32">
        <v>158.69999999999999</v>
      </c>
    </row>
    <row r="49" spans="1:14">
      <c r="A49" s="39" t="s">
        <v>48</v>
      </c>
      <c r="B49" s="15" t="s">
        <v>424</v>
      </c>
      <c r="C49" s="15" t="s">
        <v>425</v>
      </c>
      <c r="D49" s="15" t="s">
        <v>427</v>
      </c>
      <c r="E49" s="27" t="s">
        <v>413</v>
      </c>
      <c r="F49" s="8">
        <v>0</v>
      </c>
      <c r="G49" s="8">
        <v>0</v>
      </c>
      <c r="H49" s="8">
        <v>0</v>
      </c>
      <c r="I49" s="8">
        <v>0.4</v>
      </c>
      <c r="J49" s="8">
        <v>0.7</v>
      </c>
      <c r="K49" s="8">
        <v>2.8</v>
      </c>
      <c r="L49" s="8">
        <v>4.7</v>
      </c>
      <c r="M49" s="8">
        <v>7.2</v>
      </c>
      <c r="N49" s="36">
        <v>8.6</v>
      </c>
    </row>
    <row r="50" spans="1:14">
      <c r="A50" s="39" t="s">
        <v>48</v>
      </c>
      <c r="B50" s="15" t="s">
        <v>424</v>
      </c>
      <c r="C50" s="15" t="s">
        <v>425</v>
      </c>
      <c r="D50" s="15" t="s">
        <v>428</v>
      </c>
      <c r="E50" s="27" t="s">
        <v>413</v>
      </c>
      <c r="F50" s="8">
        <v>130.6</v>
      </c>
      <c r="G50" s="8">
        <v>132.5</v>
      </c>
      <c r="H50" s="8">
        <v>133.6</v>
      </c>
      <c r="I50" s="8">
        <v>121.6</v>
      </c>
      <c r="J50" s="8">
        <v>109.8</v>
      </c>
      <c r="K50" s="8">
        <v>101.1</v>
      </c>
      <c r="L50" s="8">
        <v>91.2</v>
      </c>
      <c r="M50" s="8">
        <v>81.599999999999994</v>
      </c>
      <c r="N50" s="36">
        <v>72</v>
      </c>
    </row>
    <row r="51" spans="1:14">
      <c r="A51" s="39" t="s">
        <v>48</v>
      </c>
      <c r="B51" s="15" t="s">
        <v>424</v>
      </c>
      <c r="C51" s="15" t="s">
        <v>429</v>
      </c>
      <c r="D51" s="15" t="s">
        <v>430</v>
      </c>
      <c r="E51" s="27" t="s">
        <v>413</v>
      </c>
      <c r="F51" s="8">
        <v>2</v>
      </c>
      <c r="G51" s="8">
        <v>2</v>
      </c>
      <c r="H51" s="8">
        <v>1.9</v>
      </c>
      <c r="I51" s="8">
        <v>1.9</v>
      </c>
      <c r="J51" s="8">
        <v>1.8</v>
      </c>
      <c r="K51" s="8">
        <v>1.7</v>
      </c>
      <c r="L51" s="8">
        <v>1.6</v>
      </c>
      <c r="M51" s="8">
        <v>1.5</v>
      </c>
      <c r="N51" s="36">
        <v>1.4</v>
      </c>
    </row>
    <row r="52" spans="1:14">
      <c r="A52" s="39" t="s">
        <v>48</v>
      </c>
      <c r="B52" s="15" t="s">
        <v>424</v>
      </c>
      <c r="C52" s="15" t="s">
        <v>429</v>
      </c>
      <c r="D52" s="15" t="s">
        <v>431</v>
      </c>
      <c r="E52" s="27" t="s">
        <v>413</v>
      </c>
      <c r="F52" s="34">
        <v>3</v>
      </c>
      <c r="G52" s="34">
        <v>3.2</v>
      </c>
      <c r="H52" s="34">
        <v>3.1</v>
      </c>
      <c r="I52" s="34">
        <v>3.3</v>
      </c>
      <c r="J52" s="34">
        <v>3.4</v>
      </c>
      <c r="K52" s="34">
        <v>3.5</v>
      </c>
      <c r="L52" s="34">
        <v>3.6</v>
      </c>
      <c r="M52" s="34">
        <v>3.8</v>
      </c>
      <c r="N52" s="14">
        <v>3.9</v>
      </c>
    </row>
    <row r="53" spans="1:14">
      <c r="A53" s="39" t="s">
        <v>48</v>
      </c>
      <c r="B53" s="15" t="s">
        <v>424</v>
      </c>
      <c r="C53" s="15" t="s">
        <v>432</v>
      </c>
      <c r="D53" s="15" t="s">
        <v>433</v>
      </c>
      <c r="E53" s="27" t="s">
        <v>413</v>
      </c>
      <c r="F53" s="8">
        <v>21.773039000000001</v>
      </c>
      <c r="G53" s="8">
        <v>22.080639999999999</v>
      </c>
      <c r="H53" s="8">
        <v>21.800556</v>
      </c>
      <c r="I53" s="8">
        <v>22.490831</v>
      </c>
      <c r="J53" s="8">
        <v>23.366875</v>
      </c>
      <c r="K53" s="8">
        <v>24.589208999999997</v>
      </c>
      <c r="L53" s="8">
        <v>25.898931999999999</v>
      </c>
      <c r="M53" s="8">
        <v>29.241260000000004</v>
      </c>
      <c r="N53" s="36">
        <v>32.102505999999998</v>
      </c>
    </row>
    <row r="54" spans="1:14">
      <c r="A54" s="39" t="s">
        <v>48</v>
      </c>
      <c r="B54" s="15" t="s">
        <v>424</v>
      </c>
      <c r="C54" s="15" t="s">
        <v>432</v>
      </c>
      <c r="D54" s="15" t="s">
        <v>434</v>
      </c>
      <c r="E54" s="27" t="s">
        <v>413</v>
      </c>
      <c r="F54" s="8">
        <v>2.6</v>
      </c>
      <c r="G54" s="8">
        <v>2.8</v>
      </c>
      <c r="H54" s="8">
        <v>2.7</v>
      </c>
      <c r="I54" s="8">
        <v>2.9</v>
      </c>
      <c r="J54" s="8">
        <v>3</v>
      </c>
      <c r="K54" s="8">
        <v>3</v>
      </c>
      <c r="L54" s="8">
        <v>3</v>
      </c>
      <c r="M54" s="8">
        <v>3.1</v>
      </c>
      <c r="N54" s="36">
        <v>3.1</v>
      </c>
    </row>
    <row r="55" spans="1:14">
      <c r="A55" s="39" t="s">
        <v>48</v>
      </c>
      <c r="B55" s="15" t="s">
        <v>424</v>
      </c>
      <c r="C55" s="15" t="s">
        <v>432</v>
      </c>
      <c r="D55" s="15" t="s">
        <v>435</v>
      </c>
      <c r="E55" s="27" t="s">
        <v>413</v>
      </c>
      <c r="F55" s="8">
        <v>12.8</v>
      </c>
      <c r="G55" s="8">
        <v>13.1</v>
      </c>
      <c r="H55" s="8">
        <v>13</v>
      </c>
      <c r="I55" s="8">
        <v>14.1</v>
      </c>
      <c r="J55" s="8">
        <v>13.5</v>
      </c>
      <c r="K55" s="8">
        <v>11.8</v>
      </c>
      <c r="L55" s="8">
        <v>10.1</v>
      </c>
      <c r="M55" s="8">
        <v>6.4</v>
      </c>
      <c r="N55" s="36">
        <v>3.2</v>
      </c>
    </row>
    <row r="56" spans="1:14" ht="15.75" thickBot="1">
      <c r="A56" s="30" t="s">
        <v>48</v>
      </c>
      <c r="B56" s="4" t="s">
        <v>424</v>
      </c>
      <c r="C56" s="4" t="s">
        <v>432</v>
      </c>
      <c r="D56" s="4" t="s">
        <v>436</v>
      </c>
      <c r="E56" s="43" t="s">
        <v>413</v>
      </c>
      <c r="F56" s="1">
        <v>1.7</v>
      </c>
      <c r="G56" s="1">
        <v>1.7</v>
      </c>
      <c r="H56" s="1">
        <v>1.7</v>
      </c>
      <c r="I56" s="1">
        <v>1.9</v>
      </c>
      <c r="J56" s="1">
        <v>2</v>
      </c>
      <c r="K56" s="1">
        <v>2</v>
      </c>
      <c r="L56" s="1">
        <v>2</v>
      </c>
      <c r="M56" s="1">
        <v>2.1</v>
      </c>
      <c r="N56" s="12">
        <v>2.1</v>
      </c>
    </row>
    <row r="57" spans="1:14" ht="16.5" thickTop="1" thickBot="1">
      <c r="A57" s="6" t="s">
        <v>48</v>
      </c>
      <c r="B57" s="3" t="s">
        <v>437</v>
      </c>
      <c r="C57" s="3" t="s">
        <v>438</v>
      </c>
      <c r="D57" s="3" t="s">
        <v>439</v>
      </c>
      <c r="E57" s="25" t="s">
        <v>413</v>
      </c>
      <c r="F57" s="17">
        <v>93.9</v>
      </c>
      <c r="G57" s="17">
        <v>95.8</v>
      </c>
      <c r="H57" s="17">
        <v>96.8</v>
      </c>
      <c r="I57" s="17">
        <v>100.8</v>
      </c>
      <c r="J57" s="17">
        <v>102.8</v>
      </c>
      <c r="K57" s="17">
        <v>103.8</v>
      </c>
      <c r="L57" s="17">
        <v>104.4</v>
      </c>
      <c r="M57" s="17">
        <v>104.9</v>
      </c>
      <c r="N57" s="9">
        <v>105.1</v>
      </c>
    </row>
    <row r="60" spans="1:14">
      <c r="A60" t="s">
        <v>442</v>
      </c>
    </row>
    <row r="63" spans="1:14">
      <c r="I63" s="28"/>
      <c r="J63" s="28"/>
      <c r="K63" s="28"/>
    </row>
    <row r="64" spans="1:14">
      <c r="I64" s="28"/>
      <c r="J64" s="28"/>
      <c r="K64" s="28"/>
    </row>
    <row r="65" spans="4:20">
      <c r="I65" s="28"/>
      <c r="J65" s="28"/>
      <c r="K65" s="28"/>
    </row>
    <row r="66" spans="4:20">
      <c r="I66" s="28"/>
      <c r="J66" s="28"/>
      <c r="K66" s="28"/>
    </row>
    <row r="67" spans="4:20">
      <c r="I67" s="28"/>
      <c r="J67" s="28"/>
      <c r="K67" s="28"/>
    </row>
    <row r="68" spans="4:20">
      <c r="I68" s="28"/>
      <c r="J68" s="28"/>
      <c r="K68" s="28"/>
    </row>
    <row r="69" spans="4:20">
      <c r="D69" s="44"/>
      <c r="F69" s="42"/>
      <c r="I69" s="28"/>
      <c r="J69" s="28"/>
      <c r="K69" s="28"/>
    </row>
    <row r="70" spans="4:20">
      <c r="D70" s="44"/>
      <c r="F70" s="42"/>
      <c r="I70" s="28"/>
      <c r="J70" s="28"/>
      <c r="K70" s="28"/>
    </row>
    <row r="71" spans="4:20">
      <c r="D71" s="44"/>
      <c r="F71" s="42"/>
      <c r="I71" s="28"/>
      <c r="J71" s="28"/>
      <c r="K71" s="28"/>
    </row>
    <row r="75" spans="4:20">
      <c r="G75" s="11"/>
      <c r="H75" s="11"/>
      <c r="I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4:20">
      <c r="G76" s="11"/>
      <c r="H76" s="11"/>
      <c r="I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4:20">
      <c r="G77" s="11"/>
      <c r="H77" s="11"/>
      <c r="I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4:20">
      <c r="G78" s="11"/>
      <c r="H78" s="11"/>
      <c r="I78" s="11"/>
    </row>
    <row r="79" spans="4:20">
      <c r="G79" s="11"/>
      <c r="H79" s="11"/>
      <c r="I79" s="11"/>
    </row>
    <row r="80" spans="4:20">
      <c r="G80" s="11"/>
      <c r="H80" s="11"/>
      <c r="I80" s="11"/>
      <c r="L80" s="28"/>
      <c r="M80" s="28"/>
      <c r="N80" s="28"/>
    </row>
    <row r="81" spans="7:20">
      <c r="G81" s="11"/>
      <c r="H81" s="11"/>
      <c r="I81" s="11"/>
      <c r="L81" s="28"/>
      <c r="M81" s="28"/>
      <c r="N81" s="28"/>
    </row>
    <row r="82" spans="7:20">
      <c r="G82" s="11"/>
      <c r="H82" s="11"/>
      <c r="I82" s="11"/>
      <c r="L82" s="28"/>
      <c r="M82" s="28"/>
      <c r="N82" s="28"/>
    </row>
    <row r="83" spans="7:20">
      <c r="G83" s="11"/>
      <c r="H83" s="11"/>
      <c r="I83" s="11"/>
      <c r="L83" s="28"/>
      <c r="M83" s="28"/>
      <c r="N83" s="28"/>
    </row>
    <row r="84" spans="7:20">
      <c r="L84" s="28"/>
      <c r="M84" s="28"/>
      <c r="N84" s="28"/>
    </row>
    <row r="85" spans="7:20">
      <c r="L85" s="28"/>
      <c r="M85" s="28"/>
      <c r="N85" s="28"/>
    </row>
    <row r="86" spans="7:20">
      <c r="L86" s="28"/>
      <c r="M86" s="28"/>
      <c r="N86" s="28"/>
    </row>
    <row r="87" spans="7:20">
      <c r="L87" s="28"/>
      <c r="M87" s="28"/>
      <c r="N87" s="28"/>
    </row>
    <row r="88" spans="7:20">
      <c r="L88" s="28"/>
      <c r="M88" s="28"/>
      <c r="N88" s="28"/>
    </row>
    <row r="89" spans="7:20">
      <c r="L89" s="28"/>
      <c r="M89" s="28"/>
      <c r="N89" s="28"/>
      <c r="O89" s="28"/>
      <c r="P89" s="28"/>
      <c r="Q89" s="28"/>
      <c r="R89" s="28"/>
      <c r="S89" s="28"/>
      <c r="T89" s="28"/>
    </row>
    <row r="90" spans="7:20">
      <c r="L90" s="28"/>
      <c r="M90" s="28"/>
      <c r="N90" s="28"/>
      <c r="O90" s="28"/>
      <c r="P90" s="28"/>
      <c r="Q90" s="28"/>
      <c r="R90" s="28"/>
      <c r="S90" s="28"/>
      <c r="T90" s="28"/>
    </row>
    <row r="91" spans="7:20">
      <c r="L91" s="28"/>
      <c r="M91" s="28"/>
      <c r="N91" s="28"/>
      <c r="O91" s="28"/>
      <c r="P91" s="28"/>
      <c r="Q91" s="28"/>
      <c r="R91" s="28"/>
      <c r="S91" s="28"/>
      <c r="T91" s="28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N74"/>
  <sheetViews>
    <sheetView zoomScale="85" zoomScaleNormal="85" workbookViewId="0">
      <selection activeCell="C41" sqref="C41"/>
    </sheetView>
  </sheetViews>
  <sheetFormatPr defaultColWidth="11.42578125" defaultRowHeight="15"/>
  <cols>
    <col min="1" max="1" width="29.7109375" style="73" bestFit="1" customWidth="1"/>
    <col min="2" max="2" width="16" bestFit="1" customWidth="1"/>
    <col min="3" max="3" width="44.85546875" style="18" bestFit="1" customWidth="1"/>
    <col min="4" max="4" width="16.140625" customWidth="1"/>
    <col min="5" max="5" width="17.28515625" bestFit="1" customWidth="1"/>
    <col min="6" max="6" width="27.85546875" bestFit="1" customWidth="1"/>
    <col min="12" max="13" width="58.7109375" bestFit="1" customWidth="1"/>
  </cols>
  <sheetData>
    <row r="1" spans="1:14" ht="30" customHeight="1">
      <c r="A1" s="233" t="s">
        <v>443</v>
      </c>
      <c r="B1" s="235" t="s">
        <v>408</v>
      </c>
      <c r="C1" s="237" t="s">
        <v>444</v>
      </c>
      <c r="D1" s="91" t="s">
        <v>445</v>
      </c>
      <c r="E1" s="92"/>
      <c r="F1" s="239" t="s">
        <v>446</v>
      </c>
      <c r="G1" s="49" t="s">
        <v>447</v>
      </c>
      <c r="H1" s="48"/>
      <c r="I1" s="48"/>
      <c r="J1" s="48"/>
      <c r="K1" s="47"/>
      <c r="L1" s="231" t="s">
        <v>448</v>
      </c>
    </row>
    <row r="2" spans="1:14" ht="30.75" thickBot="1">
      <c r="A2" s="234"/>
      <c r="B2" s="236"/>
      <c r="C2" s="238"/>
      <c r="D2" s="93" t="s">
        <v>449</v>
      </c>
      <c r="E2" s="94" t="s">
        <v>450</v>
      </c>
      <c r="F2" s="240"/>
      <c r="G2" s="208" t="s">
        <v>451</v>
      </c>
      <c r="H2" s="209" t="s">
        <v>452</v>
      </c>
      <c r="I2" s="209" t="s">
        <v>453</v>
      </c>
      <c r="J2" s="209" t="s">
        <v>454</v>
      </c>
      <c r="K2" s="210" t="s">
        <v>455</v>
      </c>
      <c r="L2" s="232"/>
    </row>
    <row r="3" spans="1:14">
      <c r="A3" s="72" t="s">
        <v>456</v>
      </c>
      <c r="B3" s="60" t="s">
        <v>457</v>
      </c>
      <c r="C3" s="54" t="s">
        <v>457</v>
      </c>
      <c r="D3" s="95">
        <v>2.2400000000000002</v>
      </c>
      <c r="E3" s="95">
        <v>0.13</v>
      </c>
      <c r="F3" s="96">
        <v>0</v>
      </c>
      <c r="G3" s="107">
        <v>0.02</v>
      </c>
      <c r="H3" s="95">
        <v>0</v>
      </c>
      <c r="I3" s="95">
        <v>0.2</v>
      </c>
      <c r="J3" s="95">
        <v>0.78</v>
      </c>
      <c r="K3" s="96">
        <v>0</v>
      </c>
      <c r="L3" s="63" t="s">
        <v>458</v>
      </c>
      <c r="N3" s="46"/>
    </row>
    <row r="4" spans="1:14">
      <c r="A4" s="51" t="s">
        <v>456</v>
      </c>
      <c r="B4" s="38" t="s">
        <v>411</v>
      </c>
      <c r="C4" s="61" t="s">
        <v>412</v>
      </c>
      <c r="D4" s="97">
        <v>11.64</v>
      </c>
      <c r="E4" s="97">
        <v>0.6</v>
      </c>
      <c r="F4" s="98">
        <v>0</v>
      </c>
      <c r="G4" s="108">
        <v>0.02</v>
      </c>
      <c r="H4" s="97">
        <v>0</v>
      </c>
      <c r="I4" s="97">
        <v>0.11</v>
      </c>
      <c r="J4" s="97">
        <v>0.2</v>
      </c>
      <c r="K4" s="98">
        <v>0.67</v>
      </c>
      <c r="L4" s="57" t="s">
        <v>458</v>
      </c>
      <c r="N4" s="46"/>
    </row>
    <row r="5" spans="1:14">
      <c r="A5" s="51" t="s">
        <v>456</v>
      </c>
      <c r="B5" s="38" t="s">
        <v>411</v>
      </c>
      <c r="C5" s="61" t="s">
        <v>440</v>
      </c>
      <c r="D5" s="97">
        <v>0.98</v>
      </c>
      <c r="E5" s="97">
        <v>2.2799999999999998</v>
      </c>
      <c r="F5" s="98">
        <v>0</v>
      </c>
      <c r="G5" s="108">
        <v>0.02</v>
      </c>
      <c r="H5" s="97">
        <v>0.01</v>
      </c>
      <c r="I5" s="97">
        <v>0.11</v>
      </c>
      <c r="J5" s="97">
        <v>0.1</v>
      </c>
      <c r="K5" s="98">
        <v>0.76</v>
      </c>
      <c r="L5" s="57" t="s">
        <v>458</v>
      </c>
      <c r="N5" s="46"/>
    </row>
    <row r="6" spans="1:14">
      <c r="A6" s="51" t="s">
        <v>456</v>
      </c>
      <c r="B6" s="38" t="s">
        <v>459</v>
      </c>
      <c r="C6" s="61" t="s">
        <v>460</v>
      </c>
      <c r="D6" s="97">
        <v>2.39</v>
      </c>
      <c r="E6" s="97">
        <v>0.6</v>
      </c>
      <c r="F6" s="98">
        <v>0</v>
      </c>
      <c r="G6" s="108">
        <v>0.02</v>
      </c>
      <c r="H6" s="97">
        <v>0</v>
      </c>
      <c r="I6" s="97">
        <v>0.1</v>
      </c>
      <c r="J6" s="97">
        <v>0.2</v>
      </c>
      <c r="K6" s="98">
        <v>0.68</v>
      </c>
      <c r="L6" s="57" t="s">
        <v>458</v>
      </c>
      <c r="N6" s="46"/>
    </row>
    <row r="7" spans="1:14">
      <c r="A7" s="51" t="s">
        <v>456</v>
      </c>
      <c r="B7" s="38" t="s">
        <v>461</v>
      </c>
      <c r="C7" s="61" t="s">
        <v>462</v>
      </c>
      <c r="D7" s="97">
        <v>3.2</v>
      </c>
      <c r="E7" s="97">
        <v>0.12</v>
      </c>
      <c r="F7" s="98">
        <v>0</v>
      </c>
      <c r="G7" s="108">
        <v>0.02</v>
      </c>
      <c r="H7" s="97">
        <v>0</v>
      </c>
      <c r="I7" s="97">
        <v>0.1</v>
      </c>
      <c r="J7" s="97">
        <v>0.2</v>
      </c>
      <c r="K7" s="98">
        <v>0.68</v>
      </c>
      <c r="L7" s="57" t="s">
        <v>463</v>
      </c>
      <c r="N7" s="50"/>
    </row>
    <row r="8" spans="1:14">
      <c r="A8" s="51" t="s">
        <v>456</v>
      </c>
      <c r="B8" s="38" t="s">
        <v>411</v>
      </c>
      <c r="C8" s="61" t="s">
        <v>464</v>
      </c>
      <c r="D8" s="97">
        <v>15</v>
      </c>
      <c r="E8" s="97">
        <v>0.42</v>
      </c>
      <c r="F8" s="98">
        <v>0</v>
      </c>
      <c r="G8" s="108">
        <v>0.02</v>
      </c>
      <c r="H8" s="97">
        <v>0</v>
      </c>
      <c r="I8" s="97">
        <v>0.1</v>
      </c>
      <c r="J8" s="97">
        <v>0.2</v>
      </c>
      <c r="K8" s="98">
        <v>0.68</v>
      </c>
      <c r="L8" s="57" t="s">
        <v>465</v>
      </c>
      <c r="N8" s="50"/>
    </row>
    <row r="9" spans="1:14">
      <c r="A9" s="51" t="s">
        <v>456</v>
      </c>
      <c r="B9" s="38" t="s">
        <v>466</v>
      </c>
      <c r="C9" s="61" t="s">
        <v>467</v>
      </c>
      <c r="D9" s="97">
        <v>10.58</v>
      </c>
      <c r="E9" s="97">
        <v>2.2799999999999998</v>
      </c>
      <c r="F9" s="98">
        <v>0</v>
      </c>
      <c r="G9" s="108">
        <v>0.02</v>
      </c>
      <c r="H9" s="97">
        <v>0</v>
      </c>
      <c r="I9" s="97">
        <v>0.3</v>
      </c>
      <c r="J9" s="97">
        <v>0.68</v>
      </c>
      <c r="K9" s="98">
        <v>0</v>
      </c>
      <c r="L9" s="57" t="s">
        <v>468</v>
      </c>
      <c r="N9" s="50"/>
    </row>
    <row r="10" spans="1:14" ht="15.75" thickBot="1">
      <c r="A10" s="59" t="s">
        <v>456</v>
      </c>
      <c r="B10" s="241" t="s">
        <v>466</v>
      </c>
      <c r="C10" s="242" t="s">
        <v>469</v>
      </c>
      <c r="D10" s="99">
        <v>10.58</v>
      </c>
      <c r="E10" s="99">
        <v>2.2799999999999998</v>
      </c>
      <c r="F10" s="243">
        <v>6.8</v>
      </c>
      <c r="G10" s="109">
        <v>0.02</v>
      </c>
      <c r="H10" s="99">
        <v>0</v>
      </c>
      <c r="I10" s="99">
        <v>0.3</v>
      </c>
      <c r="J10" s="99">
        <v>0.68</v>
      </c>
      <c r="K10" s="102">
        <v>0</v>
      </c>
      <c r="L10" s="81" t="s">
        <v>470</v>
      </c>
      <c r="N10" s="46"/>
    </row>
    <row r="11" spans="1:14" ht="15.75" thickTop="1">
      <c r="A11" s="79" t="s">
        <v>471</v>
      </c>
      <c r="B11" s="69" t="s">
        <v>418</v>
      </c>
      <c r="C11" s="67" t="s">
        <v>418</v>
      </c>
      <c r="D11" s="100">
        <v>11.27399956</v>
      </c>
      <c r="E11" s="100">
        <v>0.48</v>
      </c>
      <c r="F11" s="101">
        <v>21.36</v>
      </c>
      <c r="G11" s="110">
        <v>0.02</v>
      </c>
      <c r="H11" s="100">
        <v>0</v>
      </c>
      <c r="I11" s="100">
        <v>0</v>
      </c>
      <c r="J11" s="100">
        <v>0.65</v>
      </c>
      <c r="K11" s="101">
        <v>0.33</v>
      </c>
      <c r="L11" s="74" t="s">
        <v>472</v>
      </c>
      <c r="M11" s="46"/>
    </row>
    <row r="12" spans="1:14">
      <c r="A12" s="51" t="s">
        <v>471</v>
      </c>
      <c r="B12" s="38" t="s">
        <v>418</v>
      </c>
      <c r="C12" s="244" t="s">
        <v>473</v>
      </c>
      <c r="D12" s="97">
        <v>0</v>
      </c>
      <c r="E12" s="97">
        <v>6.2</v>
      </c>
      <c r="F12" s="98">
        <v>21.36</v>
      </c>
      <c r="G12" s="108">
        <v>0.02</v>
      </c>
      <c r="H12" s="97">
        <v>0</v>
      </c>
      <c r="I12" s="97">
        <v>0</v>
      </c>
      <c r="J12" s="97">
        <v>0.65</v>
      </c>
      <c r="K12" s="98">
        <v>0.33</v>
      </c>
      <c r="L12" s="57" t="s">
        <v>474</v>
      </c>
      <c r="M12" s="46"/>
    </row>
    <row r="13" spans="1:14">
      <c r="A13" s="51" t="s">
        <v>471</v>
      </c>
      <c r="B13" s="38" t="s">
        <v>475</v>
      </c>
      <c r="C13" s="61" t="s">
        <v>476</v>
      </c>
      <c r="D13" s="97">
        <v>35.904045760000002</v>
      </c>
      <c r="E13" s="97">
        <v>0</v>
      </c>
      <c r="F13" s="98">
        <v>120.02000000000001</v>
      </c>
      <c r="G13" s="108">
        <v>0.02</v>
      </c>
      <c r="H13" s="97">
        <v>0</v>
      </c>
      <c r="I13" s="97">
        <v>0</v>
      </c>
      <c r="J13" s="97">
        <v>0.98</v>
      </c>
      <c r="K13" s="98">
        <v>0</v>
      </c>
      <c r="L13" s="61" t="s">
        <v>477</v>
      </c>
      <c r="M13" s="46"/>
    </row>
    <row r="14" spans="1:14">
      <c r="A14" s="51" t="s">
        <v>471</v>
      </c>
      <c r="B14" s="38" t="s">
        <v>475</v>
      </c>
      <c r="C14" s="244" t="s">
        <v>478</v>
      </c>
      <c r="D14" s="97">
        <v>0</v>
      </c>
      <c r="E14" s="97">
        <v>5</v>
      </c>
      <c r="F14" s="98">
        <v>154.78</v>
      </c>
      <c r="G14" s="108">
        <v>0.02</v>
      </c>
      <c r="H14" s="97">
        <v>0.03</v>
      </c>
      <c r="I14" s="97">
        <v>0.01</v>
      </c>
      <c r="J14" s="97">
        <v>0.94</v>
      </c>
      <c r="K14" s="98">
        <v>0</v>
      </c>
      <c r="L14" s="244" t="s">
        <v>479</v>
      </c>
      <c r="M14" s="46"/>
    </row>
    <row r="15" spans="1:14">
      <c r="A15" s="51" t="s">
        <v>471</v>
      </c>
      <c r="B15" s="38" t="s">
        <v>480</v>
      </c>
      <c r="C15" s="61" t="s">
        <v>480</v>
      </c>
      <c r="D15" s="97">
        <v>15.03309945</v>
      </c>
      <c r="E15" s="97">
        <v>0.48550005499999999</v>
      </c>
      <c r="F15" s="98">
        <v>22.5</v>
      </c>
      <c r="G15" s="108">
        <v>0.02</v>
      </c>
      <c r="H15" s="97">
        <v>0</v>
      </c>
      <c r="I15" s="97">
        <v>0</v>
      </c>
      <c r="J15" s="97">
        <v>0.22</v>
      </c>
      <c r="K15" s="98">
        <v>0.76</v>
      </c>
      <c r="L15" s="61" t="s">
        <v>481</v>
      </c>
      <c r="M15" s="46"/>
    </row>
    <row r="16" spans="1:14">
      <c r="A16" s="51" t="s">
        <v>471</v>
      </c>
      <c r="B16" s="38" t="s">
        <v>480</v>
      </c>
      <c r="C16" s="61" t="s">
        <v>482</v>
      </c>
      <c r="D16" s="97">
        <v>0</v>
      </c>
      <c r="E16" s="97">
        <v>5.4</v>
      </c>
      <c r="F16" s="98">
        <v>22.5</v>
      </c>
      <c r="G16" s="108">
        <v>0.02</v>
      </c>
      <c r="H16" s="97">
        <v>0</v>
      </c>
      <c r="I16" s="97">
        <v>0</v>
      </c>
      <c r="J16" s="97">
        <v>0.2</v>
      </c>
      <c r="K16" s="98">
        <v>0.78</v>
      </c>
      <c r="L16" s="244" t="s">
        <v>479</v>
      </c>
      <c r="M16" s="46"/>
    </row>
    <row r="17" spans="1:13">
      <c r="A17" s="51" t="s">
        <v>471</v>
      </c>
      <c r="B17" s="38" t="s">
        <v>483</v>
      </c>
      <c r="C17" s="61" t="s">
        <v>484</v>
      </c>
      <c r="D17" s="97">
        <v>26.91</v>
      </c>
      <c r="E17" s="97">
        <v>1.44</v>
      </c>
      <c r="F17" s="98">
        <v>0</v>
      </c>
      <c r="G17" s="108">
        <v>0.02</v>
      </c>
      <c r="H17" s="97">
        <v>0.48</v>
      </c>
      <c r="I17" s="97">
        <v>0.25</v>
      </c>
      <c r="J17" s="97">
        <v>0.25</v>
      </c>
      <c r="K17" s="98">
        <v>0</v>
      </c>
      <c r="L17" s="61" t="s">
        <v>485</v>
      </c>
      <c r="M17" s="46"/>
    </row>
    <row r="18" spans="1:13">
      <c r="A18" s="51" t="s">
        <v>471</v>
      </c>
      <c r="B18" s="38" t="s">
        <v>483</v>
      </c>
      <c r="C18" s="61" t="s">
        <v>486</v>
      </c>
      <c r="D18" s="97">
        <v>6.12</v>
      </c>
      <c r="E18" s="97">
        <v>8.32</v>
      </c>
      <c r="F18" s="98">
        <v>0</v>
      </c>
      <c r="G18" s="108">
        <v>0.02</v>
      </c>
      <c r="H18" s="97">
        <v>0</v>
      </c>
      <c r="I18" s="97">
        <v>0</v>
      </c>
      <c r="J18" s="97">
        <v>0</v>
      </c>
      <c r="K18" s="98">
        <v>0.98</v>
      </c>
      <c r="L18" s="61" t="s">
        <v>485</v>
      </c>
      <c r="M18" s="46"/>
    </row>
    <row r="19" spans="1:13">
      <c r="A19" s="51" t="s">
        <v>471</v>
      </c>
      <c r="B19" s="38" t="s">
        <v>483</v>
      </c>
      <c r="C19" s="61" t="s">
        <v>487</v>
      </c>
      <c r="D19" s="97">
        <v>64.75</v>
      </c>
      <c r="E19" s="97">
        <v>1.78</v>
      </c>
      <c r="F19" s="98">
        <v>0</v>
      </c>
      <c r="G19" s="108">
        <v>0.02</v>
      </c>
      <c r="H19" s="97">
        <v>0</v>
      </c>
      <c r="I19" s="97">
        <v>0</v>
      </c>
      <c r="J19" s="97">
        <v>0</v>
      </c>
      <c r="K19" s="98">
        <v>0.98</v>
      </c>
      <c r="L19" s="61" t="s">
        <v>488</v>
      </c>
      <c r="M19" s="46"/>
    </row>
    <row r="20" spans="1:13">
      <c r="A20" s="51" t="s">
        <v>471</v>
      </c>
      <c r="B20" s="38" t="s">
        <v>483</v>
      </c>
      <c r="C20" s="61" t="s">
        <v>489</v>
      </c>
      <c r="D20" s="97">
        <v>0</v>
      </c>
      <c r="E20" s="97">
        <v>10.69</v>
      </c>
      <c r="F20" s="98">
        <v>0</v>
      </c>
      <c r="G20" s="108">
        <v>0.02</v>
      </c>
      <c r="H20" s="97">
        <v>0.98</v>
      </c>
      <c r="I20" s="97">
        <v>0</v>
      </c>
      <c r="J20" s="97">
        <v>0</v>
      </c>
      <c r="K20" s="98">
        <v>0</v>
      </c>
      <c r="L20" s="61" t="s">
        <v>488</v>
      </c>
      <c r="M20" s="46"/>
    </row>
    <row r="21" spans="1:13">
      <c r="A21" s="51" t="s">
        <v>471</v>
      </c>
      <c r="B21" s="38" t="s">
        <v>483</v>
      </c>
      <c r="C21" s="61" t="s">
        <v>490</v>
      </c>
      <c r="D21" s="97">
        <v>1.85</v>
      </c>
      <c r="E21" s="97">
        <v>10.039999999999999</v>
      </c>
      <c r="F21" s="98">
        <v>0</v>
      </c>
      <c r="G21" s="108">
        <v>0.02</v>
      </c>
      <c r="H21" s="97">
        <v>0.98</v>
      </c>
      <c r="I21" s="97">
        <v>0</v>
      </c>
      <c r="J21" s="97">
        <v>0</v>
      </c>
      <c r="K21" s="98">
        <v>0</v>
      </c>
      <c r="L21" s="61" t="s">
        <v>488</v>
      </c>
      <c r="M21" s="46"/>
    </row>
    <row r="22" spans="1:13">
      <c r="A22" s="51" t="s">
        <v>471</v>
      </c>
      <c r="B22" s="38" t="s">
        <v>483</v>
      </c>
      <c r="C22" s="61" t="s">
        <v>491</v>
      </c>
      <c r="D22" s="97">
        <v>0</v>
      </c>
      <c r="E22" s="97">
        <v>12.82</v>
      </c>
      <c r="F22" s="98">
        <v>0</v>
      </c>
      <c r="G22" s="108">
        <v>0.02</v>
      </c>
      <c r="H22" s="97">
        <v>0</v>
      </c>
      <c r="I22" s="97">
        <v>0</v>
      </c>
      <c r="J22" s="97">
        <v>0</v>
      </c>
      <c r="K22" s="98">
        <v>0.98</v>
      </c>
      <c r="L22" s="61" t="s">
        <v>488</v>
      </c>
      <c r="M22" s="46"/>
    </row>
    <row r="23" spans="1:13">
      <c r="A23" s="51" t="s">
        <v>471</v>
      </c>
      <c r="B23" s="38" t="s">
        <v>483</v>
      </c>
      <c r="C23" s="61" t="s">
        <v>492</v>
      </c>
      <c r="D23" s="97">
        <v>-7.1999999999999995E-2</v>
      </c>
      <c r="E23" s="97">
        <v>2E-3</v>
      </c>
      <c r="F23" s="98">
        <v>0</v>
      </c>
      <c r="G23" s="108">
        <v>1</v>
      </c>
      <c r="H23" s="97">
        <v>0</v>
      </c>
      <c r="I23" s="97">
        <v>0</v>
      </c>
      <c r="J23" s="97">
        <v>0</v>
      </c>
      <c r="K23" s="98">
        <v>0</v>
      </c>
      <c r="L23" s="61" t="s">
        <v>493</v>
      </c>
      <c r="M23" s="46"/>
    </row>
    <row r="24" spans="1:13">
      <c r="A24" s="51" t="s">
        <v>471</v>
      </c>
      <c r="B24" s="38" t="s">
        <v>483</v>
      </c>
      <c r="C24" s="61" t="s">
        <v>494</v>
      </c>
      <c r="D24" s="97">
        <v>0</v>
      </c>
      <c r="E24" s="97">
        <v>2.5</v>
      </c>
      <c r="F24" s="98">
        <v>0</v>
      </c>
      <c r="G24" s="108">
        <v>1</v>
      </c>
      <c r="H24" s="97">
        <v>0</v>
      </c>
      <c r="I24" s="97">
        <v>0</v>
      </c>
      <c r="J24" s="97">
        <v>0</v>
      </c>
      <c r="K24" s="98">
        <v>0</v>
      </c>
      <c r="L24" s="61" t="s">
        <v>493</v>
      </c>
      <c r="M24" s="46"/>
    </row>
    <row r="25" spans="1:13">
      <c r="A25" s="51" t="s">
        <v>471</v>
      </c>
      <c r="B25" s="38" t="s">
        <v>483</v>
      </c>
      <c r="C25" s="244" t="s">
        <v>495</v>
      </c>
      <c r="D25" s="97">
        <v>12.86</v>
      </c>
      <c r="E25" s="97">
        <v>2.66</v>
      </c>
      <c r="F25" s="98">
        <v>0</v>
      </c>
      <c r="G25" s="108">
        <v>0.02</v>
      </c>
      <c r="H25" s="97">
        <v>0.97799999999999998</v>
      </c>
      <c r="I25" s="97">
        <v>0</v>
      </c>
      <c r="J25" s="97">
        <v>1E-3</v>
      </c>
      <c r="K25" s="98">
        <v>1E-3</v>
      </c>
      <c r="L25" s="61" t="s">
        <v>493</v>
      </c>
      <c r="M25" s="46"/>
    </row>
    <row r="26" spans="1:13">
      <c r="A26" s="51" t="s">
        <v>471</v>
      </c>
      <c r="B26" s="38" t="s">
        <v>483</v>
      </c>
      <c r="C26" s="61" t="s">
        <v>496</v>
      </c>
      <c r="D26" s="97">
        <v>0.64</v>
      </c>
      <c r="E26" s="97">
        <v>2.04</v>
      </c>
      <c r="F26" s="98">
        <v>0</v>
      </c>
      <c r="G26" s="108">
        <v>0.02</v>
      </c>
      <c r="H26" s="97">
        <v>0.97799999999999998</v>
      </c>
      <c r="I26" s="97">
        <v>0</v>
      </c>
      <c r="J26" s="97">
        <v>1E-3</v>
      </c>
      <c r="K26" s="98">
        <v>1E-3</v>
      </c>
      <c r="L26" s="61" t="s">
        <v>493</v>
      </c>
      <c r="M26" s="46"/>
    </row>
    <row r="27" spans="1:13">
      <c r="A27" s="51" t="s">
        <v>471</v>
      </c>
      <c r="B27" s="38" t="s">
        <v>483</v>
      </c>
      <c r="C27" s="61" t="s">
        <v>497</v>
      </c>
      <c r="D27" s="97">
        <v>0.79400000000000004</v>
      </c>
      <c r="E27" s="97">
        <v>1.1479999999999999</v>
      </c>
      <c r="F27" s="98">
        <v>0</v>
      </c>
      <c r="G27" s="108">
        <v>0.02</v>
      </c>
      <c r="H27" s="97">
        <v>0.97799999999999998</v>
      </c>
      <c r="I27" s="97">
        <v>0</v>
      </c>
      <c r="J27" s="97">
        <v>1E-3</v>
      </c>
      <c r="K27" s="98">
        <v>1E-3</v>
      </c>
      <c r="L27" s="61" t="s">
        <v>493</v>
      </c>
      <c r="M27" s="46"/>
    </row>
    <row r="28" spans="1:13">
      <c r="A28" s="51" t="s">
        <v>471</v>
      </c>
      <c r="B28" s="38" t="s">
        <v>483</v>
      </c>
      <c r="C28" s="61" t="s">
        <v>498</v>
      </c>
      <c r="D28" s="97">
        <v>24.486000000000001</v>
      </c>
      <c r="E28" s="97">
        <v>3.0609999999999999</v>
      </c>
      <c r="F28" s="98">
        <v>0</v>
      </c>
      <c r="G28" s="108">
        <v>0.02</v>
      </c>
      <c r="H28" s="97">
        <v>0.97799999999999998</v>
      </c>
      <c r="I28" s="97">
        <v>0</v>
      </c>
      <c r="J28" s="97">
        <v>1E-3</v>
      </c>
      <c r="K28" s="98">
        <v>1E-3</v>
      </c>
      <c r="L28" s="68" t="s">
        <v>493</v>
      </c>
      <c r="M28" s="46"/>
    </row>
    <row r="29" spans="1:13">
      <c r="A29" s="51" t="s">
        <v>471</v>
      </c>
      <c r="B29" s="38" t="s">
        <v>483</v>
      </c>
      <c r="C29" s="61" t="s">
        <v>499</v>
      </c>
      <c r="D29" s="97">
        <v>11.33</v>
      </c>
      <c r="E29" s="97">
        <v>0.33</v>
      </c>
      <c r="F29" s="98">
        <v>0</v>
      </c>
      <c r="G29" s="108">
        <v>0.3</v>
      </c>
      <c r="H29" s="97">
        <v>0.4</v>
      </c>
      <c r="I29" s="97">
        <v>0</v>
      </c>
      <c r="J29" s="97">
        <v>0</v>
      </c>
      <c r="K29" s="98">
        <v>0.3</v>
      </c>
      <c r="L29" s="68" t="s">
        <v>500</v>
      </c>
      <c r="M29" s="46"/>
    </row>
    <row r="30" spans="1:13">
      <c r="A30" s="51" t="s">
        <v>471</v>
      </c>
      <c r="B30" s="38" t="s">
        <v>483</v>
      </c>
      <c r="C30" s="61" t="s">
        <v>501</v>
      </c>
      <c r="D30" s="97">
        <v>26.69</v>
      </c>
      <c r="E30" s="97">
        <v>2.76</v>
      </c>
      <c r="F30" s="98">
        <v>0</v>
      </c>
      <c r="G30" s="108">
        <v>0.02</v>
      </c>
      <c r="H30" s="97">
        <v>0.98</v>
      </c>
      <c r="I30" s="97">
        <v>0</v>
      </c>
      <c r="J30" s="97">
        <v>0</v>
      </c>
      <c r="K30" s="98">
        <v>0</v>
      </c>
      <c r="L30" s="68" t="s">
        <v>502</v>
      </c>
      <c r="M30" s="46"/>
    </row>
    <row r="31" spans="1:13" ht="15.75" thickBot="1">
      <c r="A31" s="59" t="s">
        <v>471</v>
      </c>
      <c r="B31" s="64" t="s">
        <v>483</v>
      </c>
      <c r="C31" s="77" t="s">
        <v>503</v>
      </c>
      <c r="D31" s="99">
        <v>34.225789659999997</v>
      </c>
      <c r="E31" s="99">
        <v>3.3395738910000001</v>
      </c>
      <c r="F31" s="102">
        <v>0</v>
      </c>
      <c r="G31" s="109">
        <v>0.02</v>
      </c>
      <c r="H31" s="99">
        <v>0.30000000000000004</v>
      </c>
      <c r="I31" s="99">
        <v>0.23</v>
      </c>
      <c r="J31" s="99">
        <v>0.33</v>
      </c>
      <c r="K31" s="102">
        <v>0.12</v>
      </c>
      <c r="L31" s="58" t="s">
        <v>500</v>
      </c>
      <c r="M31" s="46"/>
    </row>
    <row r="32" spans="1:13" ht="15.75" thickTop="1">
      <c r="A32" s="51" t="s">
        <v>424</v>
      </c>
      <c r="B32" s="38" t="s">
        <v>428</v>
      </c>
      <c r="C32" s="61" t="s">
        <v>504</v>
      </c>
      <c r="D32" s="97">
        <v>3.5</v>
      </c>
      <c r="E32" s="97">
        <v>0.14000000000000001</v>
      </c>
      <c r="F32" s="98">
        <v>0</v>
      </c>
      <c r="G32" s="108">
        <v>0.02</v>
      </c>
      <c r="H32" s="97">
        <v>0</v>
      </c>
      <c r="I32" s="97">
        <v>0.1</v>
      </c>
      <c r="J32" s="97">
        <v>0.57999999999999996</v>
      </c>
      <c r="K32" s="98">
        <v>0.3</v>
      </c>
      <c r="L32" s="57" t="s">
        <v>505</v>
      </c>
    </row>
    <row r="33" spans="1:13">
      <c r="A33" s="51" t="s">
        <v>424</v>
      </c>
      <c r="B33" s="38" t="s">
        <v>428</v>
      </c>
      <c r="C33" s="61" t="s">
        <v>506</v>
      </c>
      <c r="D33" s="97">
        <v>4</v>
      </c>
      <c r="E33" s="97">
        <v>0.16</v>
      </c>
      <c r="F33" s="98">
        <v>0</v>
      </c>
      <c r="G33" s="108">
        <v>0.02</v>
      </c>
      <c r="H33" s="97">
        <v>0</v>
      </c>
      <c r="I33" s="97">
        <v>0.1</v>
      </c>
      <c r="J33" s="97">
        <v>0.57999999999999996</v>
      </c>
      <c r="K33" s="98">
        <v>0.3</v>
      </c>
      <c r="L33" s="57" t="s">
        <v>505</v>
      </c>
    </row>
    <row r="34" spans="1:13">
      <c r="A34" s="51" t="s">
        <v>424</v>
      </c>
      <c r="B34" s="38" t="s">
        <v>428</v>
      </c>
      <c r="C34" s="61" t="s">
        <v>507</v>
      </c>
      <c r="D34" s="97">
        <v>5.5</v>
      </c>
      <c r="E34" s="97">
        <v>0.16</v>
      </c>
      <c r="F34" s="98">
        <v>0</v>
      </c>
      <c r="G34" s="108">
        <v>0.02</v>
      </c>
      <c r="H34" s="97">
        <v>0</v>
      </c>
      <c r="I34" s="97">
        <v>0.1</v>
      </c>
      <c r="J34" s="97">
        <v>0.57999999999999996</v>
      </c>
      <c r="K34" s="98">
        <v>0.3</v>
      </c>
      <c r="L34" s="57" t="s">
        <v>505</v>
      </c>
    </row>
    <row r="35" spans="1:13">
      <c r="A35" s="51" t="s">
        <v>424</v>
      </c>
      <c r="B35" s="38" t="s">
        <v>508</v>
      </c>
      <c r="C35" s="61" t="s">
        <v>509</v>
      </c>
      <c r="D35" s="97">
        <v>0</v>
      </c>
      <c r="E35" s="97">
        <v>0.2</v>
      </c>
      <c r="F35" s="98">
        <v>0</v>
      </c>
      <c r="G35" s="108">
        <v>1</v>
      </c>
      <c r="H35" s="97">
        <v>0</v>
      </c>
      <c r="I35" s="97">
        <v>0</v>
      </c>
      <c r="J35" s="97">
        <v>0</v>
      </c>
      <c r="K35" s="111">
        <v>0</v>
      </c>
      <c r="L35" s="65" t="s">
        <v>505</v>
      </c>
    </row>
    <row r="36" spans="1:13">
      <c r="A36" s="51" t="s">
        <v>424</v>
      </c>
      <c r="B36" s="38" t="s">
        <v>510</v>
      </c>
      <c r="C36" s="61" t="s">
        <v>511</v>
      </c>
      <c r="D36" s="97">
        <v>3.7</v>
      </c>
      <c r="E36" s="97">
        <v>0.14000000000000001</v>
      </c>
      <c r="F36" s="98">
        <v>0</v>
      </c>
      <c r="G36" s="108">
        <v>0.02</v>
      </c>
      <c r="H36" s="97">
        <v>0</v>
      </c>
      <c r="I36" s="97">
        <v>0.38</v>
      </c>
      <c r="J36" s="97">
        <v>0.6</v>
      </c>
      <c r="K36" s="98">
        <v>0</v>
      </c>
      <c r="L36" s="65" t="s">
        <v>512</v>
      </c>
    </row>
    <row r="37" spans="1:13">
      <c r="A37" s="51" t="s">
        <v>424</v>
      </c>
      <c r="B37" s="38" t="s">
        <v>513</v>
      </c>
      <c r="C37" s="61" t="s">
        <v>514</v>
      </c>
      <c r="D37" s="97">
        <v>24.235059920000001</v>
      </c>
      <c r="E37" s="97">
        <v>4.8177668259999997</v>
      </c>
      <c r="F37" s="98">
        <v>0</v>
      </c>
      <c r="G37" s="108">
        <v>0.3</v>
      </c>
      <c r="H37" s="97">
        <v>0</v>
      </c>
      <c r="I37" s="97">
        <v>0</v>
      </c>
      <c r="J37" s="97">
        <v>0.05</v>
      </c>
      <c r="K37" s="98">
        <v>0.65</v>
      </c>
      <c r="L37" s="65" t="s">
        <v>515</v>
      </c>
    </row>
    <row r="38" spans="1:13">
      <c r="A38" s="51" t="s">
        <v>424</v>
      </c>
      <c r="B38" s="38" t="s">
        <v>513</v>
      </c>
      <c r="C38" s="61" t="s">
        <v>516</v>
      </c>
      <c r="D38" s="97">
        <v>12.11</v>
      </c>
      <c r="E38" s="97">
        <v>3.23</v>
      </c>
      <c r="F38" s="98">
        <v>0</v>
      </c>
      <c r="G38" s="108">
        <v>0.3</v>
      </c>
      <c r="H38" s="97">
        <v>0.15000000000000002</v>
      </c>
      <c r="I38" s="97">
        <v>0.15</v>
      </c>
      <c r="J38" s="97">
        <v>0.25</v>
      </c>
      <c r="K38" s="98">
        <v>0.15</v>
      </c>
      <c r="L38" s="65" t="s">
        <v>515</v>
      </c>
    </row>
    <row r="39" spans="1:13">
      <c r="A39" s="51" t="s">
        <v>424</v>
      </c>
      <c r="B39" s="38" t="s">
        <v>513</v>
      </c>
      <c r="C39" s="61" t="s">
        <v>517</v>
      </c>
      <c r="D39" s="97">
        <v>5.4602248250000001</v>
      </c>
      <c r="E39" s="97">
        <v>0.88485750299999999</v>
      </c>
      <c r="F39" s="98">
        <v>0</v>
      </c>
      <c r="G39" s="108">
        <v>0.08</v>
      </c>
      <c r="H39" s="97">
        <v>0.12</v>
      </c>
      <c r="I39" s="97">
        <v>7.0000000000000007E-2</v>
      </c>
      <c r="J39" s="97">
        <v>0.18</v>
      </c>
      <c r="K39" s="98">
        <v>0.55000000000000004</v>
      </c>
      <c r="L39" s="65" t="s">
        <v>515</v>
      </c>
    </row>
    <row r="40" spans="1:13">
      <c r="A40" s="51" t="s">
        <v>424</v>
      </c>
      <c r="B40" s="38" t="s">
        <v>432</v>
      </c>
      <c r="C40" s="61" t="s">
        <v>518</v>
      </c>
      <c r="D40" s="97">
        <v>5.78</v>
      </c>
      <c r="E40" s="97">
        <v>1.41</v>
      </c>
      <c r="F40" s="98">
        <v>0</v>
      </c>
      <c r="G40" s="108">
        <v>0.02</v>
      </c>
      <c r="H40" s="97">
        <v>0.18</v>
      </c>
      <c r="I40" s="97">
        <v>0.2</v>
      </c>
      <c r="J40" s="97">
        <v>0.3</v>
      </c>
      <c r="K40" s="98">
        <v>0.3</v>
      </c>
      <c r="L40" s="57" t="s">
        <v>519</v>
      </c>
      <c r="M40" s="15"/>
    </row>
    <row r="41" spans="1:13">
      <c r="A41" s="51" t="s">
        <v>424</v>
      </c>
      <c r="B41" s="38" t="s">
        <v>432</v>
      </c>
      <c r="C41" s="61" t="s">
        <v>520</v>
      </c>
      <c r="D41" s="97">
        <v>4.78</v>
      </c>
      <c r="E41" s="97">
        <v>1.41</v>
      </c>
      <c r="F41" s="98">
        <v>0</v>
      </c>
      <c r="G41" s="108">
        <v>0.02</v>
      </c>
      <c r="H41" s="97">
        <v>0.18</v>
      </c>
      <c r="I41" s="97">
        <v>0.2</v>
      </c>
      <c r="J41" s="97">
        <v>0.3</v>
      </c>
      <c r="K41" s="98">
        <v>0.3</v>
      </c>
      <c r="L41" s="57" t="s">
        <v>519</v>
      </c>
      <c r="M41" s="15"/>
    </row>
    <row r="42" spans="1:13">
      <c r="A42" s="51" t="s">
        <v>424</v>
      </c>
      <c r="B42" s="38" t="s">
        <v>432</v>
      </c>
      <c r="C42" s="61" t="s">
        <v>521</v>
      </c>
      <c r="D42" s="97">
        <v>5.78</v>
      </c>
      <c r="E42" s="97">
        <v>1.44</v>
      </c>
      <c r="F42" s="98">
        <v>0</v>
      </c>
      <c r="G42" s="108">
        <v>0.02</v>
      </c>
      <c r="H42" s="97">
        <v>0.18</v>
      </c>
      <c r="I42" s="97">
        <v>0.2</v>
      </c>
      <c r="J42" s="97">
        <v>0.3</v>
      </c>
      <c r="K42" s="98">
        <v>0.3</v>
      </c>
      <c r="L42" s="57" t="s">
        <v>519</v>
      </c>
      <c r="M42" s="15"/>
    </row>
    <row r="43" spans="1:13">
      <c r="A43" s="51" t="s">
        <v>424</v>
      </c>
      <c r="B43" s="38" t="s">
        <v>432</v>
      </c>
      <c r="C43" s="61" t="s">
        <v>435</v>
      </c>
      <c r="D43" s="97">
        <v>10.92</v>
      </c>
      <c r="E43" s="97">
        <v>3.32</v>
      </c>
      <c r="F43" s="98">
        <v>0</v>
      </c>
      <c r="G43" s="108">
        <v>0.02</v>
      </c>
      <c r="H43" s="97">
        <v>0.21000000000000002</v>
      </c>
      <c r="I43" s="97">
        <v>0.43</v>
      </c>
      <c r="J43" s="97">
        <v>0.12</v>
      </c>
      <c r="K43" s="98">
        <v>0.22</v>
      </c>
      <c r="L43" s="57" t="s">
        <v>519</v>
      </c>
      <c r="M43" s="15"/>
    </row>
    <row r="44" spans="1:13">
      <c r="A44" s="51" t="s">
        <v>424</v>
      </c>
      <c r="B44" s="38" t="s">
        <v>432</v>
      </c>
      <c r="C44" s="61" t="s">
        <v>522</v>
      </c>
      <c r="D44" s="97">
        <v>4.92</v>
      </c>
      <c r="E44" s="97">
        <v>1.81</v>
      </c>
      <c r="F44" s="98">
        <v>0</v>
      </c>
      <c r="G44" s="108">
        <v>0.02</v>
      </c>
      <c r="H44" s="97">
        <v>0.18</v>
      </c>
      <c r="I44" s="97">
        <v>0.2</v>
      </c>
      <c r="J44" s="97">
        <v>0.3</v>
      </c>
      <c r="K44" s="98">
        <v>0.3</v>
      </c>
      <c r="L44" s="57" t="s">
        <v>519</v>
      </c>
      <c r="M44" s="15"/>
    </row>
    <row r="45" spans="1:13">
      <c r="A45" s="51" t="s">
        <v>424</v>
      </c>
      <c r="B45" s="38" t="s">
        <v>432</v>
      </c>
      <c r="C45" s="61" t="s">
        <v>436</v>
      </c>
      <c r="D45" s="97">
        <v>11.48</v>
      </c>
      <c r="E45" s="97">
        <v>5.05</v>
      </c>
      <c r="F45" s="98">
        <v>0</v>
      </c>
      <c r="G45" s="108">
        <v>0.02</v>
      </c>
      <c r="H45" s="97">
        <v>0.21000000000000002</v>
      </c>
      <c r="I45" s="97">
        <v>0.23</v>
      </c>
      <c r="J45" s="97">
        <v>0.22</v>
      </c>
      <c r="K45" s="98">
        <v>0.32</v>
      </c>
      <c r="L45" s="57" t="s">
        <v>519</v>
      </c>
      <c r="M45" s="15"/>
    </row>
    <row r="46" spans="1:13">
      <c r="A46" s="51" t="s">
        <v>424</v>
      </c>
      <c r="B46" s="38" t="s">
        <v>510</v>
      </c>
      <c r="C46" s="61" t="s">
        <v>523</v>
      </c>
      <c r="D46" s="97">
        <v>0</v>
      </c>
      <c r="E46" s="97">
        <v>0.13100000000000001</v>
      </c>
      <c r="F46" s="98">
        <v>1</v>
      </c>
      <c r="G46" s="108">
        <v>1</v>
      </c>
      <c r="H46" s="97">
        <v>0</v>
      </c>
      <c r="I46" s="97">
        <v>0</v>
      </c>
      <c r="J46" s="97">
        <v>0</v>
      </c>
      <c r="K46" s="98">
        <v>0</v>
      </c>
      <c r="L46" s="57" t="s">
        <v>524</v>
      </c>
    </row>
    <row r="47" spans="1:13">
      <c r="A47" s="51" t="s">
        <v>424</v>
      </c>
      <c r="B47" s="38" t="s">
        <v>510</v>
      </c>
      <c r="C47" s="61" t="s">
        <v>525</v>
      </c>
      <c r="D47" s="97">
        <v>1</v>
      </c>
      <c r="E47" s="97">
        <v>0.2</v>
      </c>
      <c r="F47" s="98">
        <v>1</v>
      </c>
      <c r="G47" s="108">
        <v>0.02</v>
      </c>
      <c r="H47" s="97">
        <v>0.48</v>
      </c>
      <c r="I47" s="97">
        <v>0.3</v>
      </c>
      <c r="J47" s="97">
        <v>0.2</v>
      </c>
      <c r="K47" s="98">
        <v>0</v>
      </c>
      <c r="L47" s="57" t="s">
        <v>526</v>
      </c>
    </row>
    <row r="48" spans="1:13">
      <c r="A48" s="51" t="s">
        <v>424</v>
      </c>
      <c r="B48" s="38" t="s">
        <v>510</v>
      </c>
      <c r="C48" s="61" t="s">
        <v>527</v>
      </c>
      <c r="D48" s="97">
        <v>0</v>
      </c>
      <c r="E48" s="97">
        <v>0.16</v>
      </c>
      <c r="F48" s="98">
        <v>1</v>
      </c>
      <c r="G48" s="108">
        <v>1</v>
      </c>
      <c r="H48" s="97">
        <v>0</v>
      </c>
      <c r="I48" s="97">
        <v>0</v>
      </c>
      <c r="J48" s="97">
        <v>0</v>
      </c>
      <c r="K48" s="98">
        <v>0</v>
      </c>
      <c r="L48" s="57" t="s">
        <v>524</v>
      </c>
    </row>
    <row r="49" spans="1:13" ht="15.75" thickBot="1">
      <c r="A49" s="59" t="s">
        <v>424</v>
      </c>
      <c r="B49" s="64" t="s">
        <v>510</v>
      </c>
      <c r="C49" s="77" t="s">
        <v>528</v>
      </c>
      <c r="D49" s="99">
        <v>1.4</v>
      </c>
      <c r="E49" s="99">
        <v>0.2</v>
      </c>
      <c r="F49" s="102">
        <v>0.8</v>
      </c>
      <c r="G49" s="109">
        <v>0.2</v>
      </c>
      <c r="H49" s="99">
        <v>0</v>
      </c>
      <c r="I49" s="99">
        <v>0</v>
      </c>
      <c r="J49" s="99">
        <v>0.6</v>
      </c>
      <c r="K49" s="102">
        <v>0.2</v>
      </c>
      <c r="L49" s="81" t="s">
        <v>529</v>
      </c>
    </row>
    <row r="50" spans="1:13" ht="15.75" thickTop="1">
      <c r="A50" s="79" t="s">
        <v>530</v>
      </c>
      <c r="B50" s="69" t="s">
        <v>531</v>
      </c>
      <c r="C50" s="67" t="s">
        <v>532</v>
      </c>
      <c r="D50" s="100">
        <v>27</v>
      </c>
      <c r="E50" s="100">
        <v>57.5</v>
      </c>
      <c r="F50" s="98">
        <v>0.9</v>
      </c>
      <c r="G50" s="110">
        <v>0.02</v>
      </c>
      <c r="H50" s="100">
        <v>0.09</v>
      </c>
      <c r="I50" s="100">
        <v>0.03</v>
      </c>
      <c r="J50" s="100">
        <v>0.76</v>
      </c>
      <c r="K50" s="101">
        <v>0.1</v>
      </c>
      <c r="L50" s="67" t="s">
        <v>533</v>
      </c>
      <c r="M50" s="46"/>
    </row>
    <row r="51" spans="1:13">
      <c r="A51" s="51" t="s">
        <v>530</v>
      </c>
      <c r="B51" s="38" t="s">
        <v>531</v>
      </c>
      <c r="C51" s="61" t="s">
        <v>534</v>
      </c>
      <c r="D51" s="97">
        <v>9</v>
      </c>
      <c r="E51" s="97">
        <v>1.67</v>
      </c>
      <c r="F51" s="98">
        <v>1</v>
      </c>
      <c r="G51" s="108">
        <v>0.28000000000000003</v>
      </c>
      <c r="H51" s="97">
        <v>0</v>
      </c>
      <c r="I51" s="97">
        <v>0.3</v>
      </c>
      <c r="J51" s="97">
        <v>0.42</v>
      </c>
      <c r="K51" s="98">
        <v>0</v>
      </c>
      <c r="L51" s="61" t="s">
        <v>535</v>
      </c>
      <c r="M51" s="46"/>
    </row>
    <row r="52" spans="1:13">
      <c r="A52" s="51" t="s">
        <v>530</v>
      </c>
      <c r="B52" s="38" t="s">
        <v>531</v>
      </c>
      <c r="C52" s="61" t="s">
        <v>536</v>
      </c>
      <c r="D52" s="97">
        <v>4.2</v>
      </c>
      <c r="E52" s="97">
        <v>4.8</v>
      </c>
      <c r="F52" s="98">
        <v>1</v>
      </c>
      <c r="G52" s="108">
        <v>0.02</v>
      </c>
      <c r="H52" s="97">
        <v>0</v>
      </c>
      <c r="I52" s="97">
        <v>0.98</v>
      </c>
      <c r="J52" s="97">
        <v>0</v>
      </c>
      <c r="K52" s="98">
        <v>0</v>
      </c>
      <c r="L52" s="61" t="s">
        <v>535</v>
      </c>
      <c r="M52" s="46"/>
    </row>
    <row r="53" spans="1:13">
      <c r="A53" s="51" t="s">
        <v>530</v>
      </c>
      <c r="B53" s="38" t="s">
        <v>531</v>
      </c>
      <c r="C53" s="61" t="s">
        <v>537</v>
      </c>
      <c r="D53" s="97">
        <v>7.2</v>
      </c>
      <c r="E53" s="97">
        <v>5.6</v>
      </c>
      <c r="F53" s="98">
        <v>1</v>
      </c>
      <c r="G53" s="108">
        <v>0.02</v>
      </c>
      <c r="H53" s="97">
        <v>0</v>
      </c>
      <c r="I53" s="97">
        <v>0</v>
      </c>
      <c r="J53" s="97">
        <v>0.98</v>
      </c>
      <c r="K53" s="98">
        <v>0</v>
      </c>
      <c r="L53" s="61" t="s">
        <v>538</v>
      </c>
      <c r="M53" s="46"/>
    </row>
    <row r="54" spans="1:13">
      <c r="A54" s="51" t="s">
        <v>530</v>
      </c>
      <c r="B54" s="38" t="s">
        <v>531</v>
      </c>
      <c r="C54" s="61" t="s">
        <v>539</v>
      </c>
      <c r="D54" s="97">
        <v>3.3</v>
      </c>
      <c r="E54" s="97">
        <v>2.2000000000000002</v>
      </c>
      <c r="F54" s="98">
        <v>1</v>
      </c>
      <c r="G54" s="108">
        <v>0.02</v>
      </c>
      <c r="H54" s="97">
        <v>0</v>
      </c>
      <c r="I54" s="97">
        <v>0.98</v>
      </c>
      <c r="J54" s="97">
        <v>0</v>
      </c>
      <c r="K54" s="98">
        <v>0</v>
      </c>
      <c r="L54" s="61" t="s">
        <v>535</v>
      </c>
      <c r="M54" s="46"/>
    </row>
    <row r="55" spans="1:13">
      <c r="A55" s="51" t="s">
        <v>530</v>
      </c>
      <c r="B55" s="38" t="s">
        <v>531</v>
      </c>
      <c r="C55" s="61" t="s">
        <v>540</v>
      </c>
      <c r="D55" s="97">
        <v>8</v>
      </c>
      <c r="E55" s="97">
        <v>2.79</v>
      </c>
      <c r="F55" s="98">
        <v>0.02</v>
      </c>
      <c r="G55" s="108">
        <v>0.02</v>
      </c>
      <c r="H55" s="97">
        <v>0</v>
      </c>
      <c r="I55" s="97">
        <v>0</v>
      </c>
      <c r="J55" s="97">
        <v>0</v>
      </c>
      <c r="K55" s="98">
        <v>0.98</v>
      </c>
      <c r="L55" s="61" t="s">
        <v>533</v>
      </c>
      <c r="M55" s="46"/>
    </row>
    <row r="56" spans="1:13">
      <c r="A56" s="51" t="s">
        <v>530</v>
      </c>
      <c r="B56" s="38" t="s">
        <v>531</v>
      </c>
      <c r="C56" s="61" t="s">
        <v>541</v>
      </c>
      <c r="D56" s="97">
        <v>4</v>
      </c>
      <c r="E56" s="97">
        <v>2.33</v>
      </c>
      <c r="F56" s="98">
        <v>1</v>
      </c>
      <c r="G56" s="108">
        <v>0.02</v>
      </c>
      <c r="H56" s="97">
        <v>0</v>
      </c>
      <c r="I56" s="97">
        <v>0</v>
      </c>
      <c r="J56" s="97">
        <v>0.98</v>
      </c>
      <c r="K56" s="98">
        <v>0</v>
      </c>
      <c r="L56" s="61" t="s">
        <v>542</v>
      </c>
      <c r="M56" s="46"/>
    </row>
    <row r="57" spans="1:13">
      <c r="A57" s="51" t="s">
        <v>530</v>
      </c>
      <c r="B57" s="38" t="s">
        <v>531</v>
      </c>
      <c r="C57" s="61" t="s">
        <v>543</v>
      </c>
      <c r="D57" s="97">
        <v>2</v>
      </c>
      <c r="E57" s="97">
        <v>3.78</v>
      </c>
      <c r="F57" s="98">
        <v>1</v>
      </c>
      <c r="G57" s="108">
        <v>0.02</v>
      </c>
      <c r="H57" s="97">
        <v>0</v>
      </c>
      <c r="I57" s="97">
        <v>0.98</v>
      </c>
      <c r="J57" s="97">
        <v>0</v>
      </c>
      <c r="K57" s="98">
        <v>0</v>
      </c>
      <c r="L57" s="61" t="s">
        <v>544</v>
      </c>
      <c r="M57" s="46"/>
    </row>
    <row r="58" spans="1:13">
      <c r="A58" s="51" t="s">
        <v>530</v>
      </c>
      <c r="B58" s="38" t="s">
        <v>531</v>
      </c>
      <c r="C58" s="61" t="s">
        <v>545</v>
      </c>
      <c r="D58" s="97">
        <v>1</v>
      </c>
      <c r="E58" s="97">
        <v>15.9</v>
      </c>
      <c r="F58" s="98">
        <v>0.02</v>
      </c>
      <c r="G58" s="108">
        <v>0.02</v>
      </c>
      <c r="H58" s="97">
        <v>0</v>
      </c>
      <c r="I58" s="97">
        <v>0</v>
      </c>
      <c r="J58" s="97">
        <v>0</v>
      </c>
      <c r="K58" s="98">
        <v>0.98</v>
      </c>
      <c r="L58" s="61" t="s">
        <v>542</v>
      </c>
      <c r="M58" s="46"/>
    </row>
    <row r="59" spans="1:13" ht="15.75" thickBot="1">
      <c r="A59" s="59" t="s">
        <v>530</v>
      </c>
      <c r="B59" s="64" t="s">
        <v>531</v>
      </c>
      <c r="C59" s="77" t="s">
        <v>546</v>
      </c>
      <c r="D59" s="99">
        <v>1</v>
      </c>
      <c r="E59" s="99">
        <v>0.6</v>
      </c>
      <c r="F59" s="102">
        <v>1</v>
      </c>
      <c r="G59" s="109">
        <v>0.02</v>
      </c>
      <c r="H59" s="99">
        <v>0</v>
      </c>
      <c r="I59" s="99">
        <v>0.98</v>
      </c>
      <c r="J59" s="99">
        <v>0</v>
      </c>
      <c r="K59" s="102">
        <v>0</v>
      </c>
      <c r="L59" s="77" t="s">
        <v>542</v>
      </c>
      <c r="M59" s="46"/>
    </row>
    <row r="60" spans="1:13" ht="15.75" thickTop="1">
      <c r="A60" s="79" t="s">
        <v>437</v>
      </c>
      <c r="B60" s="69" t="s">
        <v>438</v>
      </c>
      <c r="C60" s="67" t="s">
        <v>439</v>
      </c>
      <c r="D60" s="100">
        <v>5.5</v>
      </c>
      <c r="E60" s="100">
        <v>1.91</v>
      </c>
      <c r="F60" s="101">
        <v>1</v>
      </c>
      <c r="G60" s="110">
        <v>0.06</v>
      </c>
      <c r="H60" s="100">
        <v>0.87</v>
      </c>
      <c r="I60" s="100">
        <v>0.05</v>
      </c>
      <c r="J60" s="100">
        <v>0.02</v>
      </c>
      <c r="K60" s="101">
        <v>0</v>
      </c>
      <c r="L60" s="67" t="s">
        <v>547</v>
      </c>
    </row>
    <row r="61" spans="1:13">
      <c r="A61" s="51" t="s">
        <v>437</v>
      </c>
      <c r="B61" s="38" t="s">
        <v>438</v>
      </c>
      <c r="C61" s="61" t="s">
        <v>548</v>
      </c>
      <c r="D61" s="97">
        <v>12.65</v>
      </c>
      <c r="E61" s="97">
        <v>2.2999999999999998</v>
      </c>
      <c r="F61" s="98">
        <v>1</v>
      </c>
      <c r="G61" s="108">
        <v>0.02</v>
      </c>
      <c r="H61" s="97">
        <v>0.98000000000000009</v>
      </c>
      <c r="I61" s="97">
        <v>0</v>
      </c>
      <c r="J61" s="97">
        <v>0</v>
      </c>
      <c r="K61" s="98">
        <v>0</v>
      </c>
      <c r="L61" s="61" t="s">
        <v>549</v>
      </c>
    </row>
    <row r="62" spans="1:13">
      <c r="A62" s="51" t="s">
        <v>437</v>
      </c>
      <c r="B62" s="38" t="s">
        <v>438</v>
      </c>
      <c r="C62" s="61" t="s">
        <v>550</v>
      </c>
      <c r="D62" s="97">
        <v>-2.0099999999999998</v>
      </c>
      <c r="E62" s="97">
        <v>7.92</v>
      </c>
      <c r="F62" s="98">
        <v>1</v>
      </c>
      <c r="G62" s="108">
        <v>1</v>
      </c>
      <c r="H62" s="97">
        <v>0</v>
      </c>
      <c r="I62" s="97">
        <v>0</v>
      </c>
      <c r="J62" s="97">
        <v>0</v>
      </c>
      <c r="K62" s="98">
        <v>0</v>
      </c>
      <c r="L62" s="61" t="s">
        <v>551</v>
      </c>
    </row>
    <row r="63" spans="1:13">
      <c r="A63" s="51" t="s">
        <v>437</v>
      </c>
      <c r="B63" s="38" t="s">
        <v>438</v>
      </c>
      <c r="C63" s="61" t="s">
        <v>552</v>
      </c>
      <c r="D63" s="97">
        <v>0.54</v>
      </c>
      <c r="E63" s="97">
        <v>0.94</v>
      </c>
      <c r="F63" s="98">
        <v>1</v>
      </c>
      <c r="G63" s="108">
        <v>0.02</v>
      </c>
      <c r="H63" s="97">
        <v>0.98000000000000009</v>
      </c>
      <c r="I63" s="97">
        <v>0</v>
      </c>
      <c r="J63" s="97">
        <v>0</v>
      </c>
      <c r="K63" s="98">
        <v>0</v>
      </c>
      <c r="L63" s="61" t="s">
        <v>551</v>
      </c>
    </row>
    <row r="64" spans="1:13" ht="15.75" thickBot="1">
      <c r="A64" s="59" t="s">
        <v>437</v>
      </c>
      <c r="B64" s="64" t="s">
        <v>438</v>
      </c>
      <c r="C64" s="77" t="s">
        <v>553</v>
      </c>
      <c r="D64" s="99">
        <v>0</v>
      </c>
      <c r="E64" s="99">
        <v>6.5</v>
      </c>
      <c r="F64" s="102">
        <v>1</v>
      </c>
      <c r="G64" s="109">
        <v>0.06</v>
      </c>
      <c r="H64" s="99">
        <v>0.87</v>
      </c>
      <c r="I64" s="99">
        <v>0.05</v>
      </c>
      <c r="J64" s="99">
        <v>0.02</v>
      </c>
      <c r="K64" s="102">
        <v>0</v>
      </c>
      <c r="L64" s="77" t="s">
        <v>554</v>
      </c>
    </row>
    <row r="65" spans="1:13" ht="15.75" thickTop="1">
      <c r="A65" s="56" t="s">
        <v>555</v>
      </c>
      <c r="B65" s="75" t="s">
        <v>556</v>
      </c>
      <c r="C65" s="76" t="s">
        <v>557</v>
      </c>
      <c r="D65" s="103">
        <v>4.5032844980000002</v>
      </c>
      <c r="E65" s="103">
        <v>0.70637782000000005</v>
      </c>
      <c r="F65" s="101">
        <v>1</v>
      </c>
      <c r="G65" s="112">
        <v>0.1</v>
      </c>
      <c r="H65" s="103">
        <v>0.6</v>
      </c>
      <c r="I65" s="103">
        <v>0</v>
      </c>
      <c r="J65" s="103">
        <v>0.3</v>
      </c>
      <c r="K65" s="113">
        <v>0</v>
      </c>
      <c r="L65" s="76" t="s">
        <v>558</v>
      </c>
      <c r="M65" s="78"/>
    </row>
    <row r="66" spans="1:13">
      <c r="A66" s="83" t="s">
        <v>555</v>
      </c>
      <c r="B66" s="62" t="s">
        <v>556</v>
      </c>
      <c r="C66" s="66" t="s">
        <v>559</v>
      </c>
      <c r="D66" s="104">
        <v>1.5711397060000001</v>
      </c>
      <c r="E66" s="104">
        <v>0.53015113700000005</v>
      </c>
      <c r="F66" s="98">
        <v>1</v>
      </c>
      <c r="G66" s="114">
        <v>0.91</v>
      </c>
      <c r="H66" s="104">
        <v>0.09</v>
      </c>
      <c r="I66" s="104">
        <v>0</v>
      </c>
      <c r="J66" s="104">
        <v>0</v>
      </c>
      <c r="K66" s="115">
        <v>0</v>
      </c>
      <c r="L66" s="66" t="s">
        <v>558</v>
      </c>
      <c r="M66" s="46"/>
    </row>
    <row r="67" spans="1:13">
      <c r="A67" s="83" t="s">
        <v>555</v>
      </c>
      <c r="B67" s="62" t="s">
        <v>556</v>
      </c>
      <c r="C67" s="66" t="s">
        <v>560</v>
      </c>
      <c r="D67" s="104">
        <v>0.97361749500000005</v>
      </c>
      <c r="E67" s="104">
        <v>0.39242882600000001</v>
      </c>
      <c r="F67" s="98">
        <v>1.0001</v>
      </c>
      <c r="G67" s="114">
        <v>0.55000000000000004</v>
      </c>
      <c r="H67" s="104">
        <v>0.44999999999999996</v>
      </c>
      <c r="I67" s="104">
        <v>0</v>
      </c>
      <c r="J67" s="104">
        <v>1E-4</v>
      </c>
      <c r="K67" s="115">
        <v>1E-4</v>
      </c>
      <c r="L67" s="66" t="s">
        <v>558</v>
      </c>
      <c r="M67" s="46"/>
    </row>
    <row r="68" spans="1:13">
      <c r="A68" s="83" t="s">
        <v>555</v>
      </c>
      <c r="B68" s="62" t="s">
        <v>556</v>
      </c>
      <c r="C68" s="66" t="s">
        <v>561</v>
      </c>
      <c r="D68" s="104">
        <v>2.0373485429999998</v>
      </c>
      <c r="E68" s="104">
        <v>1.547240092</v>
      </c>
      <c r="F68" s="98">
        <v>1</v>
      </c>
      <c r="G68" s="114">
        <v>0.4</v>
      </c>
      <c r="H68" s="104">
        <v>0.60000000000000009</v>
      </c>
      <c r="I68" s="104">
        <v>0</v>
      </c>
      <c r="J68" s="104">
        <v>0</v>
      </c>
      <c r="K68" s="115">
        <v>0</v>
      </c>
      <c r="L68" s="66" t="s">
        <v>558</v>
      </c>
      <c r="M68" s="46"/>
    </row>
    <row r="69" spans="1:13">
      <c r="A69" s="83" t="s">
        <v>555</v>
      </c>
      <c r="B69" s="62" t="s">
        <v>556</v>
      </c>
      <c r="C69" s="80" t="s">
        <v>562</v>
      </c>
      <c r="D69" s="104">
        <v>2.4003150290000002</v>
      </c>
      <c r="E69" s="104">
        <v>1.446089575</v>
      </c>
      <c r="F69" s="98">
        <v>1</v>
      </c>
      <c r="G69" s="114">
        <v>0.2</v>
      </c>
      <c r="H69" s="104">
        <v>0.33</v>
      </c>
      <c r="I69" s="104">
        <v>0.47</v>
      </c>
      <c r="J69" s="104">
        <v>0</v>
      </c>
      <c r="K69" s="115">
        <v>0</v>
      </c>
      <c r="L69" s="66" t="s">
        <v>558</v>
      </c>
      <c r="M69" s="46"/>
    </row>
    <row r="70" spans="1:13" ht="15.75" thickBot="1">
      <c r="A70" s="84" t="s">
        <v>555</v>
      </c>
      <c r="B70" s="55" t="s">
        <v>556</v>
      </c>
      <c r="C70" s="53" t="s">
        <v>563</v>
      </c>
      <c r="D70" s="105">
        <v>3.0853972879999998</v>
      </c>
      <c r="E70" s="105">
        <v>1.351875903</v>
      </c>
      <c r="F70" s="106">
        <v>1</v>
      </c>
      <c r="G70" s="116">
        <v>1</v>
      </c>
      <c r="H70" s="105">
        <v>0</v>
      </c>
      <c r="I70" s="105">
        <v>0</v>
      </c>
      <c r="J70" s="105">
        <v>0</v>
      </c>
      <c r="K70" s="117">
        <v>0</v>
      </c>
      <c r="L70" s="53" t="s">
        <v>558</v>
      </c>
      <c r="M70" s="71"/>
    </row>
    <row r="71" spans="1:13">
      <c r="A71" s="51"/>
      <c r="B71" s="38"/>
      <c r="C71" s="61"/>
      <c r="D71" s="38"/>
      <c r="E71" s="38"/>
      <c r="F71" s="38"/>
      <c r="G71" s="46"/>
    </row>
    <row r="72" spans="1:13">
      <c r="A72" s="51"/>
      <c r="B72" s="38"/>
      <c r="C72" s="61"/>
      <c r="D72" s="38"/>
      <c r="E72" s="38"/>
      <c r="F72" s="38"/>
      <c r="G72" s="46"/>
    </row>
    <row r="73" spans="1:13">
      <c r="A73" s="51"/>
      <c r="B73" s="38"/>
      <c r="C73" s="61"/>
      <c r="D73" s="38"/>
      <c r="E73" s="38"/>
      <c r="F73" s="38"/>
      <c r="G73" s="46"/>
    </row>
    <row r="74" spans="1:13">
      <c r="A74" s="51"/>
      <c r="B74" s="38"/>
      <c r="C74" s="61"/>
      <c r="D74" s="38"/>
      <c r="E74" s="38"/>
      <c r="F74" s="38"/>
      <c r="G74" s="46"/>
    </row>
  </sheetData>
  <mergeCells count="5">
    <mergeCell ref="L1:L2"/>
    <mergeCell ref="A1:A2"/>
    <mergeCell ref="B1:B2"/>
    <mergeCell ref="C1:C2"/>
    <mergeCell ref="F1:F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P8"/>
  <sheetViews>
    <sheetView workbookViewId="0">
      <selection activeCell="C41" sqref="C41"/>
    </sheetView>
  </sheetViews>
  <sheetFormatPr defaultColWidth="11.42578125" defaultRowHeight="15"/>
  <cols>
    <col min="1" max="1" width="13.140625" bestFit="1" customWidth="1"/>
    <col min="2" max="2" width="23.140625" bestFit="1" customWidth="1"/>
    <col min="3" max="3" width="28.42578125" bestFit="1" customWidth="1"/>
    <col min="4" max="4" width="16.7109375" bestFit="1" customWidth="1"/>
    <col min="5" max="5" width="8.5703125" bestFit="1" customWidth="1"/>
    <col min="6" max="6" width="17" bestFit="1" customWidth="1"/>
    <col min="7" max="14" width="5" bestFit="1" customWidth="1"/>
    <col min="15" max="15" width="5.5703125" bestFit="1" customWidth="1"/>
    <col min="16" max="16" width="19.85546875" bestFit="1" customWidth="1"/>
  </cols>
  <sheetData>
    <row r="1" spans="1:16" ht="15.75" thickBot="1"/>
    <row r="2" spans="1:16" ht="15.75" thickBot="1">
      <c r="A2" s="29" t="s">
        <v>373</v>
      </c>
      <c r="B2" s="7" t="s">
        <v>564</v>
      </c>
      <c r="C2" s="7" t="s">
        <v>407</v>
      </c>
      <c r="D2" s="7" t="s">
        <v>408</v>
      </c>
      <c r="E2" s="40" t="s">
        <v>409</v>
      </c>
      <c r="F2" s="41" t="s">
        <v>375</v>
      </c>
      <c r="G2" s="7">
        <v>2015</v>
      </c>
      <c r="H2" s="7">
        <v>2018</v>
      </c>
      <c r="I2" s="7">
        <v>2020</v>
      </c>
      <c r="J2" s="7">
        <v>2025</v>
      </c>
      <c r="K2" s="7">
        <v>2030</v>
      </c>
      <c r="L2" s="7">
        <v>2035</v>
      </c>
      <c r="M2" s="7">
        <v>2040</v>
      </c>
      <c r="N2" s="7">
        <v>2045</v>
      </c>
      <c r="O2" s="7">
        <v>2050</v>
      </c>
      <c r="P2" s="41" t="s">
        <v>448</v>
      </c>
    </row>
    <row r="3" spans="1:16">
      <c r="A3" s="21" t="s">
        <v>44</v>
      </c>
      <c r="B3" s="5" t="s">
        <v>565</v>
      </c>
      <c r="C3" s="5" t="s">
        <v>424</v>
      </c>
      <c r="D3" s="5" t="s">
        <v>425</v>
      </c>
      <c r="E3" s="5" t="s">
        <v>566</v>
      </c>
      <c r="F3" s="26" t="s">
        <v>567</v>
      </c>
      <c r="G3" s="19">
        <v>0</v>
      </c>
      <c r="H3" s="19">
        <v>0</v>
      </c>
      <c r="I3" s="19">
        <v>0</v>
      </c>
      <c r="J3" s="16">
        <v>8.0000000000000002E-3</v>
      </c>
      <c r="K3" s="16">
        <v>4.2000000000000003E-2</v>
      </c>
      <c r="L3" s="16">
        <v>0.26</v>
      </c>
      <c r="M3" s="16">
        <v>0.59</v>
      </c>
      <c r="N3" s="16">
        <v>0.95</v>
      </c>
      <c r="O3" s="16">
        <v>1</v>
      </c>
      <c r="P3" s="24" t="s">
        <v>568</v>
      </c>
    </row>
    <row r="4" spans="1:16" ht="15.75" thickBot="1">
      <c r="A4" s="30" t="s">
        <v>44</v>
      </c>
      <c r="B4" s="4" t="s">
        <v>569</v>
      </c>
      <c r="C4" s="4" t="s">
        <v>424</v>
      </c>
      <c r="D4" s="4" t="s">
        <v>425</v>
      </c>
      <c r="E4" s="4" t="s">
        <v>566</v>
      </c>
      <c r="F4" s="52" t="s">
        <v>570</v>
      </c>
      <c r="G4" s="70">
        <v>1.0595490000000001</v>
      </c>
      <c r="H4" s="70">
        <v>1.0595490000000001</v>
      </c>
      <c r="I4" s="70">
        <v>1.0595490000000001</v>
      </c>
      <c r="J4" s="70">
        <v>1.0595490000000001</v>
      </c>
      <c r="K4" s="70">
        <v>1.008</v>
      </c>
      <c r="L4" s="70">
        <v>0.98305100000000001</v>
      </c>
      <c r="M4" s="70">
        <v>0.95871899999999999</v>
      </c>
      <c r="N4" s="70">
        <v>0.93498999999999999</v>
      </c>
      <c r="O4" s="70">
        <v>0.91184699999999996</v>
      </c>
      <c r="P4" s="52" t="s">
        <v>571</v>
      </c>
    </row>
    <row r="5" spans="1:16" ht="15.75" thickTop="1">
      <c r="A5" s="31" t="s">
        <v>46</v>
      </c>
      <c r="B5" s="20" t="s">
        <v>565</v>
      </c>
      <c r="C5" s="20" t="s">
        <v>424</v>
      </c>
      <c r="D5" s="20" t="s">
        <v>425</v>
      </c>
      <c r="E5" s="20" t="s">
        <v>566</v>
      </c>
      <c r="F5" s="10" t="s">
        <v>567</v>
      </c>
      <c r="G5" s="86">
        <v>0</v>
      </c>
      <c r="H5" s="86">
        <v>0</v>
      </c>
      <c r="I5" s="86">
        <v>0</v>
      </c>
      <c r="J5" s="82">
        <v>8.0000000000000002E-3</v>
      </c>
      <c r="K5" s="82">
        <v>4.2000000000000003E-2</v>
      </c>
      <c r="L5" s="82">
        <v>0.26</v>
      </c>
      <c r="M5" s="82">
        <v>0.59</v>
      </c>
      <c r="N5" s="82">
        <v>0.95</v>
      </c>
      <c r="O5" s="82">
        <v>1</v>
      </c>
      <c r="P5" s="85" t="s">
        <v>568</v>
      </c>
    </row>
    <row r="6" spans="1:16" ht="15.75" thickBot="1">
      <c r="A6" s="30" t="s">
        <v>46</v>
      </c>
      <c r="B6" s="4" t="s">
        <v>569</v>
      </c>
      <c r="C6" s="4" t="s">
        <v>424</v>
      </c>
      <c r="D6" s="4" t="s">
        <v>425</v>
      </c>
      <c r="E6" s="4" t="s">
        <v>566</v>
      </c>
      <c r="F6" s="52" t="s">
        <v>570</v>
      </c>
      <c r="G6" s="70">
        <v>1.0595490000000001</v>
      </c>
      <c r="H6" s="70">
        <v>1.0595490000000001</v>
      </c>
      <c r="I6" s="70">
        <v>1.0595490000000001</v>
      </c>
      <c r="J6" s="70">
        <v>1.0595490000000001</v>
      </c>
      <c r="K6" s="70">
        <v>1.008</v>
      </c>
      <c r="L6" s="70">
        <v>0.98305100000000001</v>
      </c>
      <c r="M6" s="70">
        <v>0.95871899999999999</v>
      </c>
      <c r="N6" s="70">
        <v>0.93498999999999999</v>
      </c>
      <c r="O6" s="70">
        <v>0.91184699999999996</v>
      </c>
      <c r="P6" s="52" t="s">
        <v>571</v>
      </c>
    </row>
    <row r="7" spans="1:16" ht="15.75" thickTop="1">
      <c r="A7" s="31" t="s">
        <v>48</v>
      </c>
      <c r="B7" s="20" t="s">
        <v>565</v>
      </c>
      <c r="C7" s="20" t="s">
        <v>424</v>
      </c>
      <c r="D7" s="20" t="s">
        <v>425</v>
      </c>
      <c r="E7" s="20" t="s">
        <v>566</v>
      </c>
      <c r="F7" s="10" t="s">
        <v>567</v>
      </c>
      <c r="G7" s="86">
        <v>0</v>
      </c>
      <c r="H7" s="86">
        <v>0</v>
      </c>
      <c r="I7" s="86">
        <v>0</v>
      </c>
      <c r="J7" s="82">
        <v>8.0000000000000002E-3</v>
      </c>
      <c r="K7" s="82">
        <v>4.2000000000000003E-2</v>
      </c>
      <c r="L7" s="82">
        <v>0.26</v>
      </c>
      <c r="M7" s="82">
        <v>0.59</v>
      </c>
      <c r="N7" s="82">
        <v>0.95</v>
      </c>
      <c r="O7" s="82">
        <v>1</v>
      </c>
      <c r="P7" s="85" t="s">
        <v>568</v>
      </c>
    </row>
    <row r="8" spans="1:16" ht="15.75" thickBot="1">
      <c r="A8" s="6" t="s">
        <v>48</v>
      </c>
      <c r="B8" s="3" t="s">
        <v>569</v>
      </c>
      <c r="C8" s="3" t="s">
        <v>424</v>
      </c>
      <c r="D8" s="3" t="s">
        <v>425</v>
      </c>
      <c r="E8" s="3" t="s">
        <v>566</v>
      </c>
      <c r="F8" s="22" t="s">
        <v>570</v>
      </c>
      <c r="G8" s="35">
        <v>1.0595490000000001</v>
      </c>
      <c r="H8" s="35">
        <v>1.0595490000000001</v>
      </c>
      <c r="I8" s="35">
        <v>1.0595490000000001</v>
      </c>
      <c r="J8" s="35">
        <v>1.0595490000000001</v>
      </c>
      <c r="K8" s="35">
        <v>1.008</v>
      </c>
      <c r="L8" s="35">
        <v>0.98305100000000001</v>
      </c>
      <c r="M8" s="35">
        <v>0.95871899999999999</v>
      </c>
      <c r="N8" s="35">
        <v>0.93498999999999999</v>
      </c>
      <c r="O8" s="35">
        <v>0.91184699999999996</v>
      </c>
      <c r="P8" s="22" t="s">
        <v>571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AI77"/>
  <sheetViews>
    <sheetView workbookViewId="0">
      <selection activeCell="C41" sqref="C41"/>
    </sheetView>
  </sheetViews>
  <sheetFormatPr defaultColWidth="9.140625" defaultRowHeight="15"/>
  <cols>
    <col min="1" max="1" width="13.28515625" bestFit="1" customWidth="1"/>
    <col min="2" max="2" width="11" bestFit="1" customWidth="1"/>
    <col min="3" max="3" width="24.5703125" customWidth="1"/>
  </cols>
  <sheetData>
    <row r="1" spans="1:35" ht="15.75" thickBot="1">
      <c r="A1" t="s">
        <v>373</v>
      </c>
      <c r="B1" t="s">
        <v>572</v>
      </c>
      <c r="C1" t="s">
        <v>573</v>
      </c>
      <c r="D1" t="s">
        <v>375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>
      <c r="A2" s="5" t="s">
        <v>574</v>
      </c>
      <c r="B2" s="5" t="s">
        <v>575</v>
      </c>
      <c r="C2" s="5" t="s">
        <v>576</v>
      </c>
      <c r="D2" s="5" t="s">
        <v>577</v>
      </c>
      <c r="E2" s="90">
        <v>80</v>
      </c>
      <c r="F2" s="90">
        <v>80</v>
      </c>
      <c r="G2" s="90">
        <v>80</v>
      </c>
      <c r="H2" s="90">
        <v>80</v>
      </c>
      <c r="I2" s="90">
        <v>80</v>
      </c>
      <c r="J2" s="90">
        <v>80</v>
      </c>
      <c r="K2" s="90">
        <v>80</v>
      </c>
      <c r="L2" s="90">
        <v>80</v>
      </c>
      <c r="M2" s="90">
        <v>80</v>
      </c>
      <c r="N2" s="90">
        <v>80</v>
      </c>
      <c r="O2" s="90">
        <v>80</v>
      </c>
      <c r="P2" s="90">
        <v>80</v>
      </c>
      <c r="Q2" s="90">
        <v>80</v>
      </c>
      <c r="R2" s="90">
        <v>80</v>
      </c>
      <c r="S2" s="90">
        <v>80</v>
      </c>
      <c r="T2" s="90">
        <v>80</v>
      </c>
      <c r="U2" s="90">
        <v>80</v>
      </c>
      <c r="V2" s="90">
        <v>80</v>
      </c>
      <c r="W2" s="90">
        <v>80</v>
      </c>
      <c r="X2" s="90">
        <v>80</v>
      </c>
      <c r="Y2" s="90">
        <v>80</v>
      </c>
      <c r="Z2" s="90">
        <v>80</v>
      </c>
      <c r="AA2" s="90">
        <v>80</v>
      </c>
      <c r="AB2" s="90">
        <v>80</v>
      </c>
      <c r="AC2" s="90">
        <v>80</v>
      </c>
      <c r="AD2" s="90">
        <v>80</v>
      </c>
      <c r="AE2" s="90">
        <v>80</v>
      </c>
      <c r="AF2" s="90">
        <v>80</v>
      </c>
      <c r="AG2" s="90">
        <v>80</v>
      </c>
      <c r="AH2" s="90">
        <v>80</v>
      </c>
      <c r="AI2" s="90">
        <v>80</v>
      </c>
    </row>
    <row r="3" spans="1:35">
      <c r="A3" t="s">
        <v>574</v>
      </c>
      <c r="B3" t="s">
        <v>575</v>
      </c>
      <c r="C3" t="s">
        <v>578</v>
      </c>
      <c r="D3" t="s">
        <v>577</v>
      </c>
      <c r="E3" s="89">
        <v>49.28</v>
      </c>
      <c r="F3" s="89">
        <v>49.28</v>
      </c>
      <c r="G3" s="89">
        <v>49.28</v>
      </c>
      <c r="H3" s="89">
        <v>49.28</v>
      </c>
      <c r="I3" s="89">
        <v>49.28</v>
      </c>
      <c r="J3" s="89">
        <v>49.28</v>
      </c>
      <c r="K3" s="89">
        <v>49.28</v>
      </c>
      <c r="L3" s="89">
        <v>49.28</v>
      </c>
      <c r="M3" s="89">
        <v>49.28</v>
      </c>
      <c r="N3" s="89">
        <v>49.28</v>
      </c>
      <c r="O3" s="89">
        <v>49.28</v>
      </c>
      <c r="P3" s="89">
        <v>49.28</v>
      </c>
      <c r="Q3" s="89">
        <v>49.28</v>
      </c>
      <c r="R3" s="89">
        <v>49.28</v>
      </c>
      <c r="S3" s="89">
        <v>49.28</v>
      </c>
      <c r="T3" s="89">
        <v>49.28</v>
      </c>
      <c r="U3" s="89">
        <v>49.28</v>
      </c>
      <c r="V3" s="89">
        <v>49.28</v>
      </c>
      <c r="W3" s="89">
        <v>49.28</v>
      </c>
      <c r="X3" s="89">
        <v>49.28</v>
      </c>
      <c r="Y3" s="89">
        <v>49.28</v>
      </c>
      <c r="Z3" s="89">
        <v>49.28</v>
      </c>
      <c r="AA3" s="89">
        <v>49.28</v>
      </c>
      <c r="AB3" s="89">
        <v>49.28</v>
      </c>
      <c r="AC3" s="89">
        <v>49.28</v>
      </c>
      <c r="AD3" s="89">
        <v>49.28</v>
      </c>
      <c r="AE3" s="89">
        <v>49.28</v>
      </c>
      <c r="AF3" s="89">
        <v>49.28</v>
      </c>
      <c r="AG3" s="89">
        <v>49.28</v>
      </c>
      <c r="AH3" s="89">
        <v>49.28</v>
      </c>
      <c r="AI3" s="89">
        <v>49.28</v>
      </c>
    </row>
    <row r="4" spans="1:35">
      <c r="A4" t="s">
        <v>574</v>
      </c>
      <c r="B4" t="s">
        <v>575</v>
      </c>
      <c r="C4" t="s">
        <v>579</v>
      </c>
      <c r="D4" t="s">
        <v>577</v>
      </c>
      <c r="E4" s="89">
        <v>57.76</v>
      </c>
      <c r="F4" s="89">
        <v>57.76</v>
      </c>
      <c r="G4" s="89">
        <v>57.76</v>
      </c>
      <c r="H4" s="89">
        <v>57.76</v>
      </c>
      <c r="I4" s="89">
        <v>57.76</v>
      </c>
      <c r="J4" s="89">
        <v>57.76</v>
      </c>
      <c r="K4" s="89">
        <v>57.76</v>
      </c>
      <c r="L4" s="89">
        <v>57.76</v>
      </c>
      <c r="M4" s="89">
        <v>57.76</v>
      </c>
      <c r="N4" s="89">
        <v>57.76</v>
      </c>
      <c r="O4" s="89">
        <v>57.76</v>
      </c>
      <c r="P4" s="89">
        <v>57.76</v>
      </c>
      <c r="Q4" s="89">
        <v>57.76</v>
      </c>
      <c r="R4" s="89">
        <v>57.76</v>
      </c>
      <c r="S4" s="89">
        <v>57.76</v>
      </c>
      <c r="T4" s="89">
        <v>57.76</v>
      </c>
      <c r="U4" s="89">
        <v>57.76</v>
      </c>
      <c r="V4" s="89">
        <v>57.76</v>
      </c>
      <c r="W4" s="89">
        <v>57.76</v>
      </c>
      <c r="X4" s="89">
        <v>57.76</v>
      </c>
      <c r="Y4" s="89">
        <v>57.76</v>
      </c>
      <c r="Z4" s="89">
        <v>57.76</v>
      </c>
      <c r="AA4" s="89">
        <v>57.76</v>
      </c>
      <c r="AB4" s="89">
        <v>57.76</v>
      </c>
      <c r="AC4" s="89">
        <v>57.76</v>
      </c>
      <c r="AD4" s="89">
        <v>57.76</v>
      </c>
      <c r="AE4" s="89">
        <v>57.76</v>
      </c>
      <c r="AF4" s="89">
        <v>57.76</v>
      </c>
      <c r="AG4" s="89">
        <v>57.76</v>
      </c>
      <c r="AH4" s="89">
        <v>57.76</v>
      </c>
      <c r="AI4" s="89">
        <v>57.76</v>
      </c>
    </row>
    <row r="5" spans="1:35">
      <c r="A5" t="s">
        <v>574</v>
      </c>
      <c r="B5" t="s">
        <v>575</v>
      </c>
      <c r="C5" t="s">
        <v>580</v>
      </c>
      <c r="D5" t="s">
        <v>577</v>
      </c>
      <c r="E5" s="89">
        <v>82.32</v>
      </c>
      <c r="F5" s="89">
        <v>82.32</v>
      </c>
      <c r="G5" s="89">
        <v>82.32</v>
      </c>
      <c r="H5" s="89">
        <v>82.32</v>
      </c>
      <c r="I5" s="89">
        <v>82.32</v>
      </c>
      <c r="J5" s="89">
        <v>82.32</v>
      </c>
      <c r="K5" s="89">
        <v>82.32</v>
      </c>
      <c r="L5" s="89">
        <v>82.32</v>
      </c>
      <c r="M5" s="89">
        <v>82.32</v>
      </c>
      <c r="N5" s="89">
        <v>82.32</v>
      </c>
      <c r="O5" s="89">
        <v>82.32</v>
      </c>
      <c r="P5" s="89">
        <v>82.32</v>
      </c>
      <c r="Q5" s="89">
        <v>82.32</v>
      </c>
      <c r="R5" s="89">
        <v>82.32</v>
      </c>
      <c r="S5" s="89">
        <v>82.32</v>
      </c>
      <c r="T5" s="89">
        <v>82.32</v>
      </c>
      <c r="U5" s="89">
        <v>82.32</v>
      </c>
      <c r="V5" s="89">
        <v>82.32</v>
      </c>
      <c r="W5" s="89">
        <v>82.32</v>
      </c>
      <c r="X5" s="89">
        <v>82.32</v>
      </c>
      <c r="Y5" s="89">
        <v>82.32</v>
      </c>
      <c r="Z5" s="89">
        <v>82.32</v>
      </c>
      <c r="AA5" s="89">
        <v>82.32</v>
      </c>
      <c r="AB5" s="89">
        <v>82.32</v>
      </c>
      <c r="AC5" s="89">
        <v>82.32</v>
      </c>
      <c r="AD5" s="89">
        <v>82.32</v>
      </c>
      <c r="AE5" s="89">
        <v>82.32</v>
      </c>
      <c r="AF5" s="89">
        <v>82.32</v>
      </c>
      <c r="AG5" s="89">
        <v>82.32</v>
      </c>
      <c r="AH5" s="89">
        <v>82.32</v>
      </c>
      <c r="AI5" s="89">
        <v>82.32</v>
      </c>
    </row>
    <row r="6" spans="1:35">
      <c r="A6" t="s">
        <v>574</v>
      </c>
      <c r="B6" t="s">
        <v>581</v>
      </c>
      <c r="C6" s="15" t="s">
        <v>576</v>
      </c>
      <c r="D6" t="s">
        <v>577</v>
      </c>
      <c r="E6" s="89">
        <v>66.7</v>
      </c>
      <c r="F6" s="89">
        <v>66.7</v>
      </c>
      <c r="G6" s="89">
        <v>66.7</v>
      </c>
      <c r="H6" s="89">
        <v>66.7</v>
      </c>
      <c r="I6" s="89">
        <v>66.7</v>
      </c>
      <c r="J6" s="89">
        <v>66.7</v>
      </c>
      <c r="K6" s="89">
        <v>66.7</v>
      </c>
      <c r="L6" s="89">
        <v>66.7</v>
      </c>
      <c r="M6" s="89">
        <v>66.7</v>
      </c>
      <c r="N6" s="89">
        <v>66.7</v>
      </c>
      <c r="O6" s="89">
        <v>66.7</v>
      </c>
      <c r="P6" s="89">
        <v>66.7</v>
      </c>
      <c r="Q6" s="89">
        <v>66.7</v>
      </c>
      <c r="R6" s="89">
        <v>66.7</v>
      </c>
      <c r="S6" s="89">
        <v>66.7</v>
      </c>
      <c r="T6" s="89">
        <v>66.7</v>
      </c>
      <c r="U6" s="89">
        <v>66.7</v>
      </c>
      <c r="V6" s="89">
        <v>66.7</v>
      </c>
      <c r="W6" s="89">
        <v>66.7</v>
      </c>
      <c r="X6" s="89">
        <v>66.7</v>
      </c>
      <c r="Y6" s="89">
        <v>66.7</v>
      </c>
      <c r="Z6" s="89">
        <v>66.7</v>
      </c>
      <c r="AA6" s="89">
        <v>66.7</v>
      </c>
      <c r="AB6" s="89">
        <v>66.7</v>
      </c>
      <c r="AC6" s="89">
        <v>66.7</v>
      </c>
      <c r="AD6" s="89">
        <v>66.7</v>
      </c>
      <c r="AE6" s="89">
        <v>66.7</v>
      </c>
      <c r="AF6" s="89">
        <v>66.7</v>
      </c>
      <c r="AG6" s="89">
        <v>66.7</v>
      </c>
      <c r="AH6" s="89">
        <v>66.7</v>
      </c>
      <c r="AI6" s="89">
        <v>66.7</v>
      </c>
    </row>
    <row r="7" spans="1:35">
      <c r="A7" t="s">
        <v>574</v>
      </c>
      <c r="B7" t="s">
        <v>581</v>
      </c>
      <c r="C7" t="s">
        <v>578</v>
      </c>
      <c r="D7" t="s">
        <v>577</v>
      </c>
      <c r="E7" s="89">
        <v>51</v>
      </c>
      <c r="F7" s="89">
        <v>51</v>
      </c>
      <c r="G7" s="89">
        <v>51</v>
      </c>
      <c r="H7" s="89">
        <v>51</v>
      </c>
      <c r="I7" s="89">
        <v>51</v>
      </c>
      <c r="J7" s="89">
        <v>51</v>
      </c>
      <c r="K7" s="89">
        <v>51</v>
      </c>
      <c r="L7" s="89">
        <v>51</v>
      </c>
      <c r="M7" s="89">
        <v>51</v>
      </c>
      <c r="N7" s="89">
        <v>51</v>
      </c>
      <c r="O7" s="89">
        <v>51</v>
      </c>
      <c r="P7" s="89">
        <v>51</v>
      </c>
      <c r="Q7" s="89">
        <v>51</v>
      </c>
      <c r="R7" s="89">
        <v>51</v>
      </c>
      <c r="S7" s="89">
        <v>51</v>
      </c>
      <c r="T7" s="89">
        <v>51</v>
      </c>
      <c r="U7" s="89">
        <v>51</v>
      </c>
      <c r="V7" s="89">
        <v>51</v>
      </c>
      <c r="W7" s="89">
        <v>51</v>
      </c>
      <c r="X7" s="89">
        <v>51</v>
      </c>
      <c r="Y7" s="89">
        <v>51</v>
      </c>
      <c r="Z7" s="89">
        <v>51</v>
      </c>
      <c r="AA7" s="89">
        <v>51</v>
      </c>
      <c r="AB7" s="89">
        <v>51</v>
      </c>
      <c r="AC7" s="89">
        <v>51</v>
      </c>
      <c r="AD7" s="89">
        <v>51</v>
      </c>
      <c r="AE7" s="89">
        <v>51</v>
      </c>
      <c r="AF7" s="89">
        <v>51</v>
      </c>
      <c r="AG7" s="89">
        <v>51</v>
      </c>
      <c r="AH7" s="89">
        <v>51</v>
      </c>
      <c r="AI7" s="89">
        <v>51</v>
      </c>
    </row>
    <row r="8" spans="1:35">
      <c r="A8" t="s">
        <v>574</v>
      </c>
      <c r="B8" t="s">
        <v>581</v>
      </c>
      <c r="C8" t="s">
        <v>579</v>
      </c>
      <c r="D8" t="s">
        <v>577</v>
      </c>
      <c r="E8" s="89">
        <v>57.8</v>
      </c>
      <c r="F8" s="89">
        <v>57.8</v>
      </c>
      <c r="G8" s="89">
        <v>57.8</v>
      </c>
      <c r="H8" s="89">
        <v>57.8</v>
      </c>
      <c r="I8" s="89">
        <v>57.8</v>
      </c>
      <c r="J8" s="89">
        <v>57.8</v>
      </c>
      <c r="K8" s="89">
        <v>57.8</v>
      </c>
      <c r="L8" s="89">
        <v>57.8</v>
      </c>
      <c r="M8" s="89">
        <v>57.8</v>
      </c>
      <c r="N8" s="89">
        <v>57.8</v>
      </c>
      <c r="O8" s="89">
        <v>57.8</v>
      </c>
      <c r="P8" s="89">
        <v>57.8</v>
      </c>
      <c r="Q8" s="89">
        <v>57.8</v>
      </c>
      <c r="R8" s="89">
        <v>57.8</v>
      </c>
      <c r="S8" s="89">
        <v>57.8</v>
      </c>
      <c r="T8" s="89">
        <v>57.8</v>
      </c>
      <c r="U8" s="89">
        <v>57.8</v>
      </c>
      <c r="V8" s="89">
        <v>57.8</v>
      </c>
      <c r="W8" s="89">
        <v>57.8</v>
      </c>
      <c r="X8" s="89">
        <v>57.8</v>
      </c>
      <c r="Y8" s="89">
        <v>57.8</v>
      </c>
      <c r="Z8" s="89">
        <v>57.8</v>
      </c>
      <c r="AA8" s="89">
        <v>57.8</v>
      </c>
      <c r="AB8" s="89">
        <v>57.8</v>
      </c>
      <c r="AC8" s="89">
        <v>57.8</v>
      </c>
      <c r="AD8" s="89">
        <v>57.8</v>
      </c>
      <c r="AE8" s="89">
        <v>57.8</v>
      </c>
      <c r="AF8" s="89">
        <v>57.8</v>
      </c>
      <c r="AG8" s="89">
        <v>57.8</v>
      </c>
      <c r="AH8" s="89">
        <v>57.8</v>
      </c>
      <c r="AI8" s="89">
        <v>57.8</v>
      </c>
    </row>
    <row r="9" spans="1:35">
      <c r="A9" t="s">
        <v>574</v>
      </c>
      <c r="B9" t="s">
        <v>581</v>
      </c>
      <c r="C9" t="s">
        <v>580</v>
      </c>
      <c r="D9" t="s">
        <v>577</v>
      </c>
      <c r="E9" s="89">
        <v>84.1</v>
      </c>
      <c r="F9" s="89">
        <v>84.1</v>
      </c>
      <c r="G9" s="89">
        <v>84.1</v>
      </c>
      <c r="H9" s="89">
        <v>84.1</v>
      </c>
      <c r="I9" s="89">
        <v>84.1</v>
      </c>
      <c r="J9" s="89">
        <v>84.1</v>
      </c>
      <c r="K9" s="89">
        <v>84.1</v>
      </c>
      <c r="L9" s="89">
        <v>84.1</v>
      </c>
      <c r="M9" s="89">
        <v>84.1</v>
      </c>
      <c r="N9" s="89">
        <v>84.1</v>
      </c>
      <c r="O9" s="89">
        <v>84.1</v>
      </c>
      <c r="P9" s="89">
        <v>84.1</v>
      </c>
      <c r="Q9" s="89">
        <v>84.1</v>
      </c>
      <c r="R9" s="89">
        <v>84.1</v>
      </c>
      <c r="S9" s="89">
        <v>84.1</v>
      </c>
      <c r="T9" s="89">
        <v>84.1</v>
      </c>
      <c r="U9" s="89">
        <v>84.1</v>
      </c>
      <c r="V9" s="89">
        <v>84.1</v>
      </c>
      <c r="W9" s="89">
        <v>84.1</v>
      </c>
      <c r="X9" s="89">
        <v>84.1</v>
      </c>
      <c r="Y9" s="89">
        <v>84.1</v>
      </c>
      <c r="Z9" s="89">
        <v>84.1</v>
      </c>
      <c r="AA9" s="89">
        <v>84.1</v>
      </c>
      <c r="AB9" s="89">
        <v>84.1</v>
      </c>
      <c r="AC9" s="89">
        <v>84.1</v>
      </c>
      <c r="AD9" s="89">
        <v>84.1</v>
      </c>
      <c r="AE9" s="89">
        <v>84.1</v>
      </c>
      <c r="AF9" s="89">
        <v>84.1</v>
      </c>
      <c r="AG9" s="89">
        <v>84.1</v>
      </c>
      <c r="AH9" s="89">
        <v>84.1</v>
      </c>
      <c r="AI9" s="89">
        <v>84.1</v>
      </c>
    </row>
    <row r="10" spans="1:35">
      <c r="A10" t="s">
        <v>582</v>
      </c>
      <c r="B10" t="s">
        <v>575</v>
      </c>
      <c r="C10" t="s">
        <v>583</v>
      </c>
      <c r="D10" t="s">
        <v>577</v>
      </c>
      <c r="E10" s="89">
        <v>39.194628260000002</v>
      </c>
      <c r="F10" s="89">
        <v>39.194628260000002</v>
      </c>
      <c r="G10" s="89">
        <v>39.194628260000002</v>
      </c>
      <c r="H10" s="89">
        <v>39.194628260000002</v>
      </c>
      <c r="I10" s="89">
        <v>39.194628260000002</v>
      </c>
      <c r="J10" s="89">
        <v>39.194628260000002</v>
      </c>
      <c r="K10" s="89">
        <v>39.194628260000002</v>
      </c>
      <c r="L10" s="89">
        <v>39.194628260000002</v>
      </c>
      <c r="M10" s="89">
        <v>39.194628260000002</v>
      </c>
      <c r="N10" s="89">
        <v>39.194628260000002</v>
      </c>
      <c r="O10" s="89">
        <v>39.194628260000002</v>
      </c>
      <c r="P10" s="89">
        <v>39.194628260000002</v>
      </c>
      <c r="Q10" s="89">
        <v>39.194628260000002</v>
      </c>
      <c r="R10" s="89">
        <v>39.194628260000002</v>
      </c>
      <c r="S10" s="89">
        <v>39.194628260000002</v>
      </c>
      <c r="T10" s="89">
        <v>39.194628260000002</v>
      </c>
      <c r="U10" s="89">
        <v>39.194628260000002</v>
      </c>
      <c r="V10" s="89">
        <v>39.194628260000002</v>
      </c>
      <c r="W10" s="89">
        <v>39.194628260000002</v>
      </c>
      <c r="X10" s="89">
        <v>39.194628260000002</v>
      </c>
      <c r="Y10" s="89">
        <v>39.194628260000002</v>
      </c>
      <c r="Z10" s="89">
        <v>39.194628260000002</v>
      </c>
      <c r="AA10" s="89">
        <v>39.194628260000002</v>
      </c>
      <c r="AB10" s="89">
        <v>39.194628260000002</v>
      </c>
      <c r="AC10" s="89">
        <v>39.194628260000002</v>
      </c>
      <c r="AD10" s="89">
        <v>39.194628260000002</v>
      </c>
      <c r="AE10" s="89">
        <v>39.194628260000002</v>
      </c>
      <c r="AF10" s="89">
        <v>39.194628260000002</v>
      </c>
      <c r="AG10" s="89">
        <v>39.194628260000002</v>
      </c>
      <c r="AH10" s="89">
        <v>39.194628260000002</v>
      </c>
      <c r="AI10" s="89">
        <v>39.194628260000002</v>
      </c>
    </row>
    <row r="11" spans="1:35">
      <c r="A11" t="s">
        <v>582</v>
      </c>
      <c r="B11" t="s">
        <v>575</v>
      </c>
      <c r="C11" t="s">
        <v>584</v>
      </c>
      <c r="D11" t="s">
        <v>577</v>
      </c>
      <c r="E11" s="89">
        <v>39.194628260000002</v>
      </c>
      <c r="F11" s="89">
        <v>39.194628260000002</v>
      </c>
      <c r="G11" s="89">
        <v>39.194628260000002</v>
      </c>
      <c r="H11" s="89">
        <v>39.194628260000002</v>
      </c>
      <c r="I11" s="89">
        <v>39.194628260000002</v>
      </c>
      <c r="J11" s="89">
        <v>39.194628260000002</v>
      </c>
      <c r="K11" s="89">
        <v>39.194628260000002</v>
      </c>
      <c r="L11" s="89">
        <v>39.194628260000002</v>
      </c>
      <c r="M11" s="89">
        <v>39.194628260000002</v>
      </c>
      <c r="N11" s="89">
        <v>39.194628260000002</v>
      </c>
      <c r="O11" s="89">
        <v>39.194628260000002</v>
      </c>
      <c r="P11" s="89">
        <v>39.194628260000002</v>
      </c>
      <c r="Q11" s="89">
        <v>39.194628260000002</v>
      </c>
      <c r="R11" s="89">
        <v>39.194628260000002</v>
      </c>
      <c r="S11" s="89">
        <v>39.194628260000002</v>
      </c>
      <c r="T11" s="89">
        <v>39.194628260000002</v>
      </c>
      <c r="U11" s="89">
        <v>39.194628260000002</v>
      </c>
      <c r="V11" s="89">
        <v>39.194628260000002</v>
      </c>
      <c r="W11" s="89">
        <v>39.194628260000002</v>
      </c>
      <c r="X11" s="89">
        <v>39.194628260000002</v>
      </c>
      <c r="Y11" s="89">
        <v>39.194628260000002</v>
      </c>
      <c r="Z11" s="89">
        <v>39.194628260000002</v>
      </c>
      <c r="AA11" s="89">
        <v>39.194628260000002</v>
      </c>
      <c r="AB11" s="89">
        <v>39.194628260000002</v>
      </c>
      <c r="AC11" s="89">
        <v>39.194628260000002</v>
      </c>
      <c r="AD11" s="89">
        <v>39.194628260000002</v>
      </c>
      <c r="AE11" s="89">
        <v>39.194628260000002</v>
      </c>
      <c r="AF11" s="89">
        <v>39.194628260000002</v>
      </c>
      <c r="AG11" s="89">
        <v>39.194628260000002</v>
      </c>
      <c r="AH11" s="89">
        <v>39.194628260000002</v>
      </c>
      <c r="AI11" s="89">
        <v>39.194628260000002</v>
      </c>
    </row>
    <row r="12" spans="1:35">
      <c r="A12" t="s">
        <v>582</v>
      </c>
      <c r="B12" t="s">
        <v>575</v>
      </c>
      <c r="C12" t="s">
        <v>585</v>
      </c>
      <c r="D12" t="s">
        <v>577</v>
      </c>
      <c r="E12" s="89">
        <v>20.2</v>
      </c>
      <c r="F12" s="89">
        <v>19.2</v>
      </c>
      <c r="G12" s="89">
        <v>18.2</v>
      </c>
      <c r="H12" s="89">
        <v>17.2</v>
      </c>
      <c r="I12" s="89">
        <v>16.2</v>
      </c>
      <c r="J12" s="89">
        <v>15.2</v>
      </c>
      <c r="K12" s="89">
        <v>15.2</v>
      </c>
      <c r="L12" s="89">
        <v>15.2</v>
      </c>
      <c r="M12" s="89">
        <v>15.2</v>
      </c>
      <c r="N12" s="89">
        <v>15.2</v>
      </c>
      <c r="O12" s="89">
        <v>15.2</v>
      </c>
      <c r="P12" s="89">
        <v>15.2</v>
      </c>
      <c r="Q12" s="89">
        <v>15.2</v>
      </c>
      <c r="R12" s="89">
        <v>15.2</v>
      </c>
      <c r="S12" s="89">
        <v>15.2</v>
      </c>
      <c r="T12" s="89">
        <v>15.2</v>
      </c>
      <c r="U12" s="89">
        <v>15.2</v>
      </c>
      <c r="V12" s="89">
        <v>15.2</v>
      </c>
      <c r="W12" s="89">
        <v>15.2</v>
      </c>
      <c r="X12" s="89">
        <v>15.2</v>
      </c>
      <c r="Y12" s="89">
        <v>15.2</v>
      </c>
      <c r="Z12" s="89">
        <v>15.2</v>
      </c>
      <c r="AA12" s="89">
        <v>15.2</v>
      </c>
      <c r="AB12" s="89">
        <v>15.2</v>
      </c>
      <c r="AC12" s="89">
        <v>15.2</v>
      </c>
      <c r="AD12" s="89">
        <v>15.2</v>
      </c>
      <c r="AE12" s="89">
        <v>15.2</v>
      </c>
      <c r="AF12" s="89">
        <v>15.2</v>
      </c>
      <c r="AG12" s="89">
        <v>15.2</v>
      </c>
      <c r="AH12" s="89">
        <v>15.2</v>
      </c>
      <c r="AI12" s="89">
        <v>15.2</v>
      </c>
    </row>
    <row r="13" spans="1:35">
      <c r="A13" t="s">
        <v>582</v>
      </c>
      <c r="B13" t="s">
        <v>575</v>
      </c>
      <c r="C13" t="s">
        <v>586</v>
      </c>
      <c r="D13" t="s">
        <v>577</v>
      </c>
      <c r="E13" s="89">
        <v>27.194628260000002</v>
      </c>
      <c r="F13" s="89">
        <v>27.194628260000002</v>
      </c>
      <c r="G13" s="89">
        <v>27.194628260000002</v>
      </c>
      <c r="H13" s="89">
        <v>27.194628260000002</v>
      </c>
      <c r="I13" s="89">
        <v>26.194628260000002</v>
      </c>
      <c r="J13" s="89">
        <v>25.194628260000002</v>
      </c>
      <c r="K13" s="89">
        <v>24.194628260000002</v>
      </c>
      <c r="L13" s="89">
        <v>23.194628260000002</v>
      </c>
      <c r="M13" s="89">
        <v>22.194628260000002</v>
      </c>
      <c r="N13" s="89">
        <v>21.194628260000002</v>
      </c>
      <c r="O13" s="89">
        <v>20.194628260000002</v>
      </c>
      <c r="P13" s="89">
        <v>20.194628260000002</v>
      </c>
      <c r="Q13" s="89">
        <v>20.194628260000002</v>
      </c>
      <c r="R13" s="89">
        <v>20.194628260000002</v>
      </c>
      <c r="S13" s="89">
        <v>20.194628260000002</v>
      </c>
      <c r="T13" s="89">
        <v>15.19462826</v>
      </c>
      <c r="U13" s="89">
        <v>15.19462826</v>
      </c>
      <c r="V13" s="89">
        <v>15.19462826</v>
      </c>
      <c r="W13" s="89">
        <v>15.19462826</v>
      </c>
      <c r="X13" s="89">
        <v>15.19462826</v>
      </c>
      <c r="Y13" s="89">
        <v>10.19462826</v>
      </c>
      <c r="Z13" s="89">
        <v>9.19462826</v>
      </c>
      <c r="AA13" s="89">
        <v>8.19462826</v>
      </c>
      <c r="AB13" s="89">
        <v>7.19462826</v>
      </c>
      <c r="AC13" s="89">
        <v>6.19462826</v>
      </c>
      <c r="AD13" s="89">
        <v>5.19462826</v>
      </c>
      <c r="AE13" s="89">
        <v>5.19462826</v>
      </c>
      <c r="AF13" s="89">
        <v>5.19462826</v>
      </c>
      <c r="AG13" s="89">
        <v>5.19462826</v>
      </c>
      <c r="AH13" s="89">
        <v>5.19462826</v>
      </c>
      <c r="AI13" s="89">
        <v>5.19462826</v>
      </c>
    </row>
    <row r="14" spans="1:35">
      <c r="A14" t="s">
        <v>582</v>
      </c>
      <c r="B14" t="s">
        <v>575</v>
      </c>
      <c r="C14" t="s">
        <v>587</v>
      </c>
      <c r="D14" t="s">
        <v>577</v>
      </c>
      <c r="E14" s="89">
        <v>30.194628260000002</v>
      </c>
      <c r="F14" s="89">
        <v>30.194628260000002</v>
      </c>
      <c r="G14" s="89">
        <v>30.194628260000002</v>
      </c>
      <c r="H14" s="89">
        <v>30.194628260000002</v>
      </c>
      <c r="I14" s="89">
        <v>30.194628260000002</v>
      </c>
      <c r="J14" s="89">
        <v>30.194628260000002</v>
      </c>
      <c r="K14" s="89">
        <v>30.194628260000002</v>
      </c>
      <c r="L14" s="89">
        <v>30.194628260000002</v>
      </c>
      <c r="M14" s="89">
        <v>30.194628260000002</v>
      </c>
      <c r="N14" s="89">
        <v>30.194628260000002</v>
      </c>
      <c r="O14" s="89">
        <v>30.194628260000002</v>
      </c>
      <c r="P14" s="89">
        <v>30.194628260000002</v>
      </c>
      <c r="Q14" s="89">
        <v>30.194628260000002</v>
      </c>
      <c r="R14" s="89">
        <v>30.194628260000002</v>
      </c>
      <c r="S14" s="89">
        <v>30.194628260000002</v>
      </c>
      <c r="T14" s="89">
        <v>30.194628260000002</v>
      </c>
      <c r="U14" s="89">
        <v>30.194628260000002</v>
      </c>
      <c r="V14" s="89">
        <v>30.194628260000002</v>
      </c>
      <c r="W14" s="89">
        <v>30.194628260000002</v>
      </c>
      <c r="X14" s="89">
        <v>30.194628260000002</v>
      </c>
      <c r="Y14" s="89">
        <v>25.194628260000002</v>
      </c>
      <c r="Z14" s="89">
        <v>20.194628260000002</v>
      </c>
      <c r="AA14" s="89">
        <v>15.19462826</v>
      </c>
      <c r="AB14" s="89">
        <v>10.19462826</v>
      </c>
      <c r="AC14" s="89">
        <v>5.19462826</v>
      </c>
      <c r="AD14" s="89">
        <v>5.19462826</v>
      </c>
      <c r="AE14" s="89">
        <v>5.19462826</v>
      </c>
      <c r="AF14" s="89">
        <v>5.19462826</v>
      </c>
      <c r="AG14" s="89">
        <v>5.19462826</v>
      </c>
      <c r="AH14" s="89">
        <v>5.19462826</v>
      </c>
      <c r="AI14" s="89">
        <v>5.19462826</v>
      </c>
    </row>
    <row r="15" spans="1:35">
      <c r="A15" t="s">
        <v>582</v>
      </c>
      <c r="B15" t="s">
        <v>575</v>
      </c>
      <c r="C15" t="s">
        <v>588</v>
      </c>
      <c r="D15" t="s">
        <v>577</v>
      </c>
      <c r="E15" s="89">
        <v>25.2</v>
      </c>
      <c r="F15" s="89">
        <v>25.2</v>
      </c>
      <c r="G15" s="89">
        <v>24.2</v>
      </c>
      <c r="H15" s="89">
        <v>23.2</v>
      </c>
      <c r="I15" s="89">
        <v>21.2</v>
      </c>
      <c r="J15" s="89">
        <v>19.2</v>
      </c>
      <c r="K15" s="89">
        <v>17.2</v>
      </c>
      <c r="L15" s="89">
        <v>15.2</v>
      </c>
      <c r="M15" s="89">
        <v>15.2</v>
      </c>
      <c r="N15" s="89">
        <v>15.2</v>
      </c>
      <c r="O15" s="89">
        <v>15.2</v>
      </c>
      <c r="P15" s="89">
        <v>14.2</v>
      </c>
      <c r="Q15" s="89">
        <v>13.2</v>
      </c>
      <c r="R15" s="89">
        <v>12.2</v>
      </c>
      <c r="S15" s="89">
        <v>11.2</v>
      </c>
      <c r="T15" s="89">
        <v>10.199999999999999</v>
      </c>
      <c r="U15" s="89">
        <v>10.199999999999999</v>
      </c>
      <c r="V15" s="89">
        <v>10.199999999999999</v>
      </c>
      <c r="W15" s="89">
        <v>10.199999999999999</v>
      </c>
      <c r="X15" s="89">
        <v>10.199999999999999</v>
      </c>
      <c r="Y15" s="89">
        <v>5.2</v>
      </c>
      <c r="Z15" s="89">
        <v>5.2</v>
      </c>
      <c r="AA15" s="89">
        <v>5.2</v>
      </c>
      <c r="AB15" s="89">
        <v>5.2</v>
      </c>
      <c r="AC15" s="89">
        <v>5.2</v>
      </c>
      <c r="AD15" s="89">
        <v>5.2</v>
      </c>
      <c r="AE15" s="89">
        <v>5.2</v>
      </c>
      <c r="AF15" s="89">
        <v>5.2</v>
      </c>
      <c r="AG15" s="89">
        <v>5.2</v>
      </c>
      <c r="AH15" s="89">
        <v>5.2</v>
      </c>
      <c r="AI15" s="89">
        <v>5.2</v>
      </c>
    </row>
    <row r="16" spans="1:35">
      <c r="A16" t="s">
        <v>582</v>
      </c>
      <c r="B16" t="s">
        <v>575</v>
      </c>
      <c r="C16" t="s">
        <v>589</v>
      </c>
      <c r="D16" t="s">
        <v>577</v>
      </c>
      <c r="E16" s="89">
        <v>28.194628260000002</v>
      </c>
      <c r="F16" s="89">
        <v>28.194628260000002</v>
      </c>
      <c r="G16" s="89">
        <v>28.194628260000002</v>
      </c>
      <c r="H16" s="89">
        <v>28.194628260000002</v>
      </c>
      <c r="I16" s="89">
        <v>28.194628260000002</v>
      </c>
      <c r="J16" s="89">
        <v>28.194628260000002</v>
      </c>
      <c r="K16" s="89">
        <v>28.194628260000002</v>
      </c>
      <c r="L16" s="89">
        <v>28.194628260000002</v>
      </c>
      <c r="M16" s="89">
        <v>28.194628260000002</v>
      </c>
      <c r="N16" s="89">
        <v>28.194628260000002</v>
      </c>
      <c r="O16" s="89">
        <v>28.194628260000002</v>
      </c>
      <c r="P16" s="89">
        <v>28.194628260000002</v>
      </c>
      <c r="Q16" s="89">
        <v>28.194628260000002</v>
      </c>
      <c r="R16" s="89">
        <v>26.194628260000002</v>
      </c>
      <c r="S16" s="89">
        <v>24.194628260000002</v>
      </c>
      <c r="T16" s="89">
        <v>22.194628260000002</v>
      </c>
      <c r="U16" s="89">
        <v>20.194628260000002</v>
      </c>
      <c r="V16" s="89">
        <v>18.194628260000002</v>
      </c>
      <c r="W16" s="89">
        <v>16.194628260000002</v>
      </c>
      <c r="X16" s="89">
        <v>14.19462826</v>
      </c>
      <c r="Y16" s="89">
        <v>12.19462826</v>
      </c>
      <c r="Z16" s="89">
        <v>10.19462826</v>
      </c>
      <c r="AA16" s="89">
        <v>8.19462826</v>
      </c>
      <c r="AB16" s="89">
        <v>6.19462826</v>
      </c>
      <c r="AC16" s="89">
        <v>4.19462826</v>
      </c>
      <c r="AD16" s="89">
        <v>2.19462826</v>
      </c>
      <c r="AE16" s="89">
        <v>1</v>
      </c>
      <c r="AF16" s="89">
        <v>1</v>
      </c>
      <c r="AG16" s="89">
        <v>1</v>
      </c>
      <c r="AH16" s="89">
        <v>1</v>
      </c>
      <c r="AI16" s="89">
        <v>1</v>
      </c>
    </row>
    <row r="17" spans="1:35">
      <c r="A17" t="s">
        <v>582</v>
      </c>
      <c r="B17" t="s">
        <v>575</v>
      </c>
      <c r="C17" t="s">
        <v>590</v>
      </c>
      <c r="D17" t="s">
        <v>577</v>
      </c>
      <c r="E17" s="89">
        <v>39.194628260000002</v>
      </c>
      <c r="F17" s="89">
        <v>39.194628260000002</v>
      </c>
      <c r="G17" s="89">
        <v>39.194628260000002</v>
      </c>
      <c r="H17" s="89">
        <v>39.194628260000002</v>
      </c>
      <c r="I17" s="89">
        <v>39.194628260000002</v>
      </c>
      <c r="J17" s="89">
        <v>39.194628260000002</v>
      </c>
      <c r="K17" s="89">
        <v>39.194628260000002</v>
      </c>
      <c r="L17" s="89">
        <v>39.194628260000002</v>
      </c>
      <c r="M17" s="89">
        <v>39.194628260000002</v>
      </c>
      <c r="N17" s="89">
        <v>39.194628260000002</v>
      </c>
      <c r="O17" s="89">
        <v>39.194628260000002</v>
      </c>
      <c r="P17" s="89">
        <v>39.194628260000002</v>
      </c>
      <c r="Q17" s="89">
        <v>39.194628260000002</v>
      </c>
      <c r="R17" s="89">
        <v>39.194628260000002</v>
      </c>
      <c r="S17" s="89">
        <v>39.194628260000002</v>
      </c>
      <c r="T17" s="89">
        <v>39.194628260000002</v>
      </c>
      <c r="U17" s="89">
        <v>39.194628260000002</v>
      </c>
      <c r="V17" s="89">
        <v>39.194628260000002</v>
      </c>
      <c r="W17" s="89">
        <v>39.194628260000002</v>
      </c>
      <c r="X17" s="89">
        <v>39.194628260000002</v>
      </c>
      <c r="Y17" s="89">
        <v>39.194628260000002</v>
      </c>
      <c r="Z17" s="89">
        <v>39.194628260000002</v>
      </c>
      <c r="AA17" s="89">
        <v>39.194628260000002</v>
      </c>
      <c r="AB17" s="89">
        <v>39.194628260000002</v>
      </c>
      <c r="AC17" s="89">
        <v>39.194628260000002</v>
      </c>
      <c r="AD17" s="89">
        <v>39.194628260000002</v>
      </c>
      <c r="AE17" s="89">
        <v>39.194628260000002</v>
      </c>
      <c r="AF17" s="89">
        <v>39.194628260000002</v>
      </c>
      <c r="AG17" s="89">
        <v>39.194628260000002</v>
      </c>
      <c r="AH17" s="89">
        <v>39.194628260000002</v>
      </c>
      <c r="AI17" s="89">
        <v>39.194628260000002</v>
      </c>
    </row>
    <row r="18" spans="1:35">
      <c r="A18" t="s">
        <v>582</v>
      </c>
      <c r="B18" t="s">
        <v>575</v>
      </c>
      <c r="C18" t="s">
        <v>66</v>
      </c>
      <c r="D18" t="s">
        <v>577</v>
      </c>
      <c r="E18" s="89">
        <v>39.194628260000002</v>
      </c>
      <c r="F18" s="89">
        <v>39.194628260000002</v>
      </c>
      <c r="G18" s="89">
        <v>39.194628260000002</v>
      </c>
      <c r="H18" s="89">
        <v>39.194628260000002</v>
      </c>
      <c r="I18" s="89">
        <v>39.194628260000002</v>
      </c>
      <c r="J18" s="89">
        <v>39.194628260000002</v>
      </c>
      <c r="K18" s="89">
        <v>39.194628260000002</v>
      </c>
      <c r="L18" s="89">
        <v>39.194628260000002</v>
      </c>
      <c r="M18" s="89">
        <v>39.194628260000002</v>
      </c>
      <c r="N18" s="89">
        <v>39.194628260000002</v>
      </c>
      <c r="O18" s="89">
        <v>39.194628260000002</v>
      </c>
      <c r="P18" s="89">
        <v>39.194628260000002</v>
      </c>
      <c r="Q18" s="89">
        <v>39.194628260000002</v>
      </c>
      <c r="R18" s="89">
        <v>39.194628260000002</v>
      </c>
      <c r="S18" s="89">
        <v>39.194628260000002</v>
      </c>
      <c r="T18" s="89">
        <v>39.194628260000002</v>
      </c>
      <c r="U18" s="89">
        <v>39.194628260000002</v>
      </c>
      <c r="V18" s="89">
        <v>39.194628260000002</v>
      </c>
      <c r="W18" s="89">
        <v>39.194628260000002</v>
      </c>
      <c r="X18" s="89">
        <v>39.194628260000002</v>
      </c>
      <c r="Y18" s="89">
        <v>39.194628260000002</v>
      </c>
      <c r="Z18" s="89">
        <v>39.194628260000002</v>
      </c>
      <c r="AA18" s="89">
        <v>39.194628260000002</v>
      </c>
      <c r="AB18" s="89">
        <v>39.194628260000002</v>
      </c>
      <c r="AC18" s="89">
        <v>39.194628260000002</v>
      </c>
      <c r="AD18" s="89">
        <v>39.194628260000002</v>
      </c>
      <c r="AE18" s="89">
        <v>39.194628260000002</v>
      </c>
      <c r="AF18" s="89">
        <v>39.194628260000002</v>
      </c>
      <c r="AG18" s="89">
        <v>39.194628260000002</v>
      </c>
      <c r="AH18" s="89">
        <v>39.194628260000002</v>
      </c>
      <c r="AI18" s="89">
        <v>39.194628260000002</v>
      </c>
    </row>
    <row r="19" spans="1:35">
      <c r="A19" t="s">
        <v>582</v>
      </c>
      <c r="B19" t="s">
        <v>575</v>
      </c>
      <c r="C19" t="s">
        <v>591</v>
      </c>
      <c r="D19" t="s">
        <v>577</v>
      </c>
      <c r="E19" s="89">
        <v>39.194628260000002</v>
      </c>
      <c r="F19" s="89">
        <v>39.194628260000002</v>
      </c>
      <c r="G19" s="89">
        <v>39.194628260000002</v>
      </c>
      <c r="H19" s="89">
        <v>39.194628260000002</v>
      </c>
      <c r="I19" s="89">
        <v>39.194628260000002</v>
      </c>
      <c r="J19" s="89">
        <v>39.194628260000002</v>
      </c>
      <c r="K19" s="89">
        <v>39.194628260000002</v>
      </c>
      <c r="L19" s="89">
        <v>39.194628260000002</v>
      </c>
      <c r="M19" s="89">
        <v>39.194628260000002</v>
      </c>
      <c r="N19" s="89">
        <v>39.194628260000002</v>
      </c>
      <c r="O19" s="89">
        <v>39.194628260000002</v>
      </c>
      <c r="P19" s="89">
        <v>39.194628260000002</v>
      </c>
      <c r="Q19" s="89">
        <v>39.194628260000002</v>
      </c>
      <c r="R19" s="89">
        <v>39.194628260000002</v>
      </c>
      <c r="S19" s="89">
        <v>39.194628260000002</v>
      </c>
      <c r="T19" s="89">
        <v>39.194628260000002</v>
      </c>
      <c r="U19" s="89">
        <v>39.194628260000002</v>
      </c>
      <c r="V19" s="89">
        <v>39.194628260000002</v>
      </c>
      <c r="W19" s="89">
        <v>39.194628260000002</v>
      </c>
      <c r="X19" s="89">
        <v>39.194628260000002</v>
      </c>
      <c r="Y19" s="89">
        <v>39.194628260000002</v>
      </c>
      <c r="Z19" s="89">
        <v>39.194628260000002</v>
      </c>
      <c r="AA19" s="89">
        <v>39.194628260000002</v>
      </c>
      <c r="AB19" s="89">
        <v>39.194628260000002</v>
      </c>
      <c r="AC19" s="89">
        <v>39.194628260000002</v>
      </c>
      <c r="AD19" s="89">
        <v>39.194628260000002</v>
      </c>
      <c r="AE19" s="89">
        <v>39.194628260000002</v>
      </c>
      <c r="AF19" s="89">
        <v>39.194628260000002</v>
      </c>
      <c r="AG19" s="89">
        <v>39.194628260000002</v>
      </c>
      <c r="AH19" s="89">
        <v>39.194628260000002</v>
      </c>
      <c r="AI19" s="89">
        <v>39.194628260000002</v>
      </c>
    </row>
    <row r="20" spans="1:35">
      <c r="A20" t="s">
        <v>582</v>
      </c>
      <c r="B20" t="s">
        <v>575</v>
      </c>
      <c r="C20" t="s">
        <v>592</v>
      </c>
      <c r="D20" t="s">
        <v>577</v>
      </c>
      <c r="E20" s="89">
        <v>39.194628260000002</v>
      </c>
      <c r="F20" s="89">
        <v>39.194628260000002</v>
      </c>
      <c r="G20" s="89">
        <v>39.194628260000002</v>
      </c>
      <c r="H20" s="89">
        <v>39.194628260000002</v>
      </c>
      <c r="I20" s="89">
        <v>39.194628260000002</v>
      </c>
      <c r="J20" s="89">
        <v>39.194628260000002</v>
      </c>
      <c r="K20" s="89">
        <v>39.194628260000002</v>
      </c>
      <c r="L20" s="89">
        <v>39.194628260000002</v>
      </c>
      <c r="M20" s="89">
        <v>39.194628260000002</v>
      </c>
      <c r="N20" s="89">
        <v>39.194628260000002</v>
      </c>
      <c r="O20" s="89">
        <v>39.194628260000002</v>
      </c>
      <c r="P20" s="89">
        <v>39.194628260000002</v>
      </c>
      <c r="Q20" s="89">
        <v>39.194628260000002</v>
      </c>
      <c r="R20" s="89">
        <v>39.194628260000002</v>
      </c>
      <c r="S20" s="89">
        <v>39.194628260000002</v>
      </c>
      <c r="T20" s="89">
        <v>39.194628260000002</v>
      </c>
      <c r="U20" s="89">
        <v>39.194628260000002</v>
      </c>
      <c r="V20" s="89">
        <v>39.194628260000002</v>
      </c>
      <c r="W20" s="89">
        <v>39.194628260000002</v>
      </c>
      <c r="X20" s="89">
        <v>39.194628260000002</v>
      </c>
      <c r="Y20" s="89">
        <v>39.194628260000002</v>
      </c>
      <c r="Z20" s="89">
        <v>39.194628260000002</v>
      </c>
      <c r="AA20" s="89">
        <v>39.194628260000002</v>
      </c>
      <c r="AB20" s="89">
        <v>39.194628260000002</v>
      </c>
      <c r="AC20" s="89">
        <v>39.194628260000002</v>
      </c>
      <c r="AD20" s="89">
        <v>39.194628260000002</v>
      </c>
      <c r="AE20" s="89">
        <v>39.194628260000002</v>
      </c>
      <c r="AF20" s="89">
        <v>39.194628260000002</v>
      </c>
      <c r="AG20" s="89">
        <v>39.194628260000002</v>
      </c>
      <c r="AH20" s="89">
        <v>39.194628260000002</v>
      </c>
      <c r="AI20" s="89">
        <v>39.194628260000002</v>
      </c>
    </row>
    <row r="21" spans="1:35">
      <c r="A21" t="s">
        <v>582</v>
      </c>
      <c r="B21" t="s">
        <v>575</v>
      </c>
      <c r="C21" t="s">
        <v>593</v>
      </c>
      <c r="D21" t="s">
        <v>577</v>
      </c>
      <c r="E21" s="89">
        <v>39.194628260000002</v>
      </c>
      <c r="F21" s="89">
        <v>39.194628260000002</v>
      </c>
      <c r="G21" s="89">
        <v>39.194628260000002</v>
      </c>
      <c r="H21" s="89">
        <v>39.194628260000002</v>
      </c>
      <c r="I21" s="89">
        <v>39.194628260000002</v>
      </c>
      <c r="J21" s="89">
        <v>39.194628260000002</v>
      </c>
      <c r="K21" s="89">
        <v>39.194628260000002</v>
      </c>
      <c r="L21" s="89">
        <v>39.194628260000002</v>
      </c>
      <c r="M21" s="89">
        <v>39.194628260000002</v>
      </c>
      <c r="N21" s="89">
        <v>39.194628260000002</v>
      </c>
      <c r="O21" s="89">
        <v>39.194628260000002</v>
      </c>
      <c r="P21" s="89">
        <v>39.194628260000002</v>
      </c>
      <c r="Q21" s="89">
        <v>39.194628260000002</v>
      </c>
      <c r="R21" s="89">
        <v>39.194628260000002</v>
      </c>
      <c r="S21" s="89">
        <v>39.194628260000002</v>
      </c>
      <c r="T21" s="89">
        <v>39.194628260000002</v>
      </c>
      <c r="U21" s="89">
        <v>39.194628260000002</v>
      </c>
      <c r="V21" s="89">
        <v>39.194628260000002</v>
      </c>
      <c r="W21" s="89">
        <v>39.194628260000002</v>
      </c>
      <c r="X21" s="89">
        <v>39.194628260000002</v>
      </c>
      <c r="Y21" s="89">
        <v>39.194628260000002</v>
      </c>
      <c r="Z21" s="89">
        <v>39.194628260000002</v>
      </c>
      <c r="AA21" s="89">
        <v>39.194628260000002</v>
      </c>
      <c r="AB21" s="89">
        <v>39.194628260000002</v>
      </c>
      <c r="AC21" s="89">
        <v>39.194628260000002</v>
      </c>
      <c r="AD21" s="89">
        <v>39.194628260000002</v>
      </c>
      <c r="AE21" s="89">
        <v>39.194628260000002</v>
      </c>
      <c r="AF21" s="89">
        <v>39.194628260000002</v>
      </c>
      <c r="AG21" s="89">
        <v>39.194628260000002</v>
      </c>
      <c r="AH21" s="89">
        <v>39.194628260000002</v>
      </c>
      <c r="AI21" s="89">
        <v>39.194628260000002</v>
      </c>
    </row>
    <row r="22" spans="1:35">
      <c r="A22" t="s">
        <v>582</v>
      </c>
      <c r="B22" t="s">
        <v>575</v>
      </c>
      <c r="C22" t="s">
        <v>594</v>
      </c>
      <c r="D22" t="s">
        <v>577</v>
      </c>
      <c r="E22" s="89">
        <v>39.194628260000002</v>
      </c>
      <c r="F22" s="89">
        <v>39.194628260000002</v>
      </c>
      <c r="G22" s="89">
        <v>39.194628260000002</v>
      </c>
      <c r="H22" s="89">
        <v>39.194628260000002</v>
      </c>
      <c r="I22" s="89">
        <v>39.194628260000002</v>
      </c>
      <c r="J22" s="89">
        <v>39.194628260000002</v>
      </c>
      <c r="K22" s="89">
        <v>39.194628260000002</v>
      </c>
      <c r="L22" s="89">
        <v>39.194628260000002</v>
      </c>
      <c r="M22" s="89">
        <v>39.194628260000002</v>
      </c>
      <c r="N22" s="89">
        <v>39.194628260000002</v>
      </c>
      <c r="O22" s="89">
        <v>39.194628260000002</v>
      </c>
      <c r="P22" s="89">
        <v>39.194628260000002</v>
      </c>
      <c r="Q22" s="89">
        <v>39.194628260000002</v>
      </c>
      <c r="R22" s="89">
        <v>39.194628260000002</v>
      </c>
      <c r="S22" s="89">
        <v>39.194628260000002</v>
      </c>
      <c r="T22" s="89">
        <v>39.194628260000002</v>
      </c>
      <c r="U22" s="89">
        <v>39.194628260000002</v>
      </c>
      <c r="V22" s="89">
        <v>39.194628260000002</v>
      </c>
      <c r="W22" s="89">
        <v>39.194628260000002</v>
      </c>
      <c r="X22" s="89">
        <v>39.194628260000002</v>
      </c>
      <c r="Y22" s="89">
        <v>39.194628260000002</v>
      </c>
      <c r="Z22" s="89">
        <v>39.194628260000002</v>
      </c>
      <c r="AA22" s="89">
        <v>39.194628260000002</v>
      </c>
      <c r="AB22" s="89">
        <v>39.194628260000002</v>
      </c>
      <c r="AC22" s="89">
        <v>39.194628260000002</v>
      </c>
      <c r="AD22" s="89">
        <v>39.194628260000002</v>
      </c>
      <c r="AE22" s="89">
        <v>39.194628260000002</v>
      </c>
      <c r="AF22" s="89">
        <v>39.194628260000002</v>
      </c>
      <c r="AG22" s="89">
        <v>39.194628260000002</v>
      </c>
      <c r="AH22" s="89">
        <v>39.194628260000002</v>
      </c>
      <c r="AI22" s="89">
        <v>39.194628260000002</v>
      </c>
    </row>
    <row r="23" spans="1:35">
      <c r="A23" t="s">
        <v>582</v>
      </c>
      <c r="B23" t="s">
        <v>575</v>
      </c>
      <c r="C23" t="s">
        <v>595</v>
      </c>
      <c r="D23" t="s">
        <v>577</v>
      </c>
      <c r="E23" s="89">
        <v>39.194628260000002</v>
      </c>
      <c r="F23" s="89">
        <v>39.194628260000002</v>
      </c>
      <c r="G23" s="89">
        <v>39.194628260000002</v>
      </c>
      <c r="H23" s="89">
        <v>39.194628260000002</v>
      </c>
      <c r="I23" s="89">
        <v>39.194628260000002</v>
      </c>
      <c r="J23" s="89">
        <v>39.194628260000002</v>
      </c>
      <c r="K23" s="89">
        <v>39.194628260000002</v>
      </c>
      <c r="L23" s="89">
        <v>39.194628260000002</v>
      </c>
      <c r="M23" s="89">
        <v>39.194628260000002</v>
      </c>
      <c r="N23" s="89">
        <v>39.194628260000002</v>
      </c>
      <c r="O23" s="89">
        <v>39.194628260000002</v>
      </c>
      <c r="P23" s="89">
        <v>39.194628260000002</v>
      </c>
      <c r="Q23" s="89">
        <v>39.194628260000002</v>
      </c>
      <c r="R23" s="89">
        <v>39.194628260000002</v>
      </c>
      <c r="S23" s="89">
        <v>39.194628260000002</v>
      </c>
      <c r="T23" s="89">
        <v>39.194628260000002</v>
      </c>
      <c r="U23" s="89">
        <v>39.194628260000002</v>
      </c>
      <c r="V23" s="89">
        <v>39.194628260000002</v>
      </c>
      <c r="W23" s="89">
        <v>39.194628260000002</v>
      </c>
      <c r="X23" s="89">
        <v>39.194628260000002</v>
      </c>
      <c r="Y23" s="89">
        <v>39.194628260000002</v>
      </c>
      <c r="Z23" s="89">
        <v>39.194628260000002</v>
      </c>
      <c r="AA23" s="89">
        <v>39.194628260000002</v>
      </c>
      <c r="AB23" s="89">
        <v>39.194628260000002</v>
      </c>
      <c r="AC23" s="89">
        <v>39.194628260000002</v>
      </c>
      <c r="AD23" s="89">
        <v>39.194628260000002</v>
      </c>
      <c r="AE23" s="89">
        <v>39.194628260000002</v>
      </c>
      <c r="AF23" s="89">
        <v>39.194628260000002</v>
      </c>
      <c r="AG23" s="89">
        <v>39.194628260000002</v>
      </c>
      <c r="AH23" s="89">
        <v>39.194628260000002</v>
      </c>
      <c r="AI23" s="89">
        <v>39.194628260000002</v>
      </c>
    </row>
    <row r="24" spans="1:35">
      <c r="A24" t="s">
        <v>582</v>
      </c>
      <c r="B24" t="s">
        <v>575</v>
      </c>
      <c r="C24" t="s">
        <v>596</v>
      </c>
      <c r="D24" t="s">
        <v>577</v>
      </c>
      <c r="E24" s="89">
        <v>39.194628260000002</v>
      </c>
      <c r="F24" s="89">
        <v>39.194628260000002</v>
      </c>
      <c r="G24" s="89">
        <v>39.194628260000002</v>
      </c>
      <c r="H24" s="89">
        <v>39.194628260000002</v>
      </c>
      <c r="I24" s="89">
        <v>39.194628260000002</v>
      </c>
      <c r="J24" s="89">
        <v>39.194628260000002</v>
      </c>
      <c r="K24" s="89">
        <v>39.194628260000002</v>
      </c>
      <c r="L24" s="89">
        <v>39.194628260000002</v>
      </c>
      <c r="M24" s="89">
        <v>39.194628260000002</v>
      </c>
      <c r="N24" s="89">
        <v>39.194628260000002</v>
      </c>
      <c r="O24" s="89">
        <v>39.194628260000002</v>
      </c>
      <c r="P24" s="89">
        <v>39.194628260000002</v>
      </c>
      <c r="Q24" s="89">
        <v>39.194628260000002</v>
      </c>
      <c r="R24" s="89">
        <v>39.194628260000002</v>
      </c>
      <c r="S24" s="89">
        <v>39.194628260000002</v>
      </c>
      <c r="T24" s="89">
        <v>39.194628260000002</v>
      </c>
      <c r="U24" s="89">
        <v>39.194628260000002</v>
      </c>
      <c r="V24" s="89">
        <v>39.194628260000002</v>
      </c>
      <c r="W24" s="89">
        <v>39.194628260000002</v>
      </c>
      <c r="X24" s="89">
        <v>39.194628260000002</v>
      </c>
      <c r="Y24" s="89">
        <v>39.194628260000002</v>
      </c>
      <c r="Z24" s="89">
        <v>39.194628260000002</v>
      </c>
      <c r="AA24" s="89">
        <v>39.194628260000002</v>
      </c>
      <c r="AB24" s="89">
        <v>39.194628260000002</v>
      </c>
      <c r="AC24" s="89">
        <v>39.194628260000002</v>
      </c>
      <c r="AD24" s="89">
        <v>39.194628260000002</v>
      </c>
      <c r="AE24" s="89">
        <v>39.194628260000002</v>
      </c>
      <c r="AF24" s="89">
        <v>39.194628260000002</v>
      </c>
      <c r="AG24" s="89">
        <v>39.194628260000002</v>
      </c>
      <c r="AH24" s="89">
        <v>39.194628260000002</v>
      </c>
      <c r="AI24" s="89">
        <v>39.194628260000002</v>
      </c>
    </row>
    <row r="25" spans="1:35">
      <c r="A25" t="s">
        <v>582</v>
      </c>
      <c r="B25" t="s">
        <v>575</v>
      </c>
      <c r="C25" t="s">
        <v>597</v>
      </c>
      <c r="D25" t="s">
        <v>577</v>
      </c>
      <c r="E25" s="89">
        <v>30.194628260000002</v>
      </c>
      <c r="F25" s="89">
        <v>30.194628260000002</v>
      </c>
      <c r="G25" s="89">
        <v>30.194628260000002</v>
      </c>
      <c r="H25" s="89">
        <v>30.194628260000002</v>
      </c>
      <c r="I25" s="89">
        <v>30.194628260000002</v>
      </c>
      <c r="J25" s="89">
        <v>30.194628260000002</v>
      </c>
      <c r="K25" s="89">
        <v>30.194628260000002</v>
      </c>
      <c r="L25" s="89">
        <v>30.194628260000002</v>
      </c>
      <c r="M25" s="89">
        <v>30.194628260000002</v>
      </c>
      <c r="N25" s="89">
        <v>30.194628260000002</v>
      </c>
      <c r="O25" s="89">
        <v>30.194628260000002</v>
      </c>
      <c r="P25" s="89">
        <v>30.194628260000002</v>
      </c>
      <c r="Q25" s="89">
        <v>30.194628260000002</v>
      </c>
      <c r="R25" s="89">
        <v>30.194628260000002</v>
      </c>
      <c r="S25" s="89">
        <v>30.194628260000002</v>
      </c>
      <c r="T25" s="89">
        <v>30.194628260000002</v>
      </c>
      <c r="U25" s="89">
        <v>30.194628260000002</v>
      </c>
      <c r="V25" s="89">
        <v>30.194628260000002</v>
      </c>
      <c r="W25" s="89">
        <v>30.194628260000002</v>
      </c>
      <c r="X25" s="89">
        <v>30.194628260000002</v>
      </c>
      <c r="Y25" s="89">
        <v>30.194628260000002</v>
      </c>
      <c r="Z25" s="89">
        <v>30.194628260000002</v>
      </c>
      <c r="AA25" s="89">
        <v>30.194628260000002</v>
      </c>
      <c r="AB25" s="89">
        <v>30.194628260000002</v>
      </c>
      <c r="AC25" s="89">
        <v>30.194628260000002</v>
      </c>
      <c r="AD25" s="89">
        <v>30.194628260000002</v>
      </c>
      <c r="AE25" s="89">
        <v>30.194628260000002</v>
      </c>
      <c r="AF25" s="89">
        <v>30.194628260000002</v>
      </c>
      <c r="AG25" s="89">
        <v>30.194628260000002</v>
      </c>
      <c r="AH25" s="89">
        <v>30.194628260000002</v>
      </c>
      <c r="AI25" s="89">
        <v>30.194628260000002</v>
      </c>
    </row>
    <row r="26" spans="1:35">
      <c r="A26" t="s">
        <v>582</v>
      </c>
      <c r="B26" t="s">
        <v>575</v>
      </c>
      <c r="C26" t="s">
        <v>598</v>
      </c>
      <c r="D26" t="s">
        <v>577</v>
      </c>
      <c r="E26" s="89">
        <v>30.194628260000002</v>
      </c>
      <c r="F26" s="89">
        <v>30.194628260000002</v>
      </c>
      <c r="G26" s="89">
        <v>30.194628260000002</v>
      </c>
      <c r="H26" s="89">
        <v>30.194628260000002</v>
      </c>
      <c r="I26" s="89">
        <v>30.194628260000002</v>
      </c>
      <c r="J26" s="89">
        <v>30.194628260000002</v>
      </c>
      <c r="K26" s="89">
        <v>30.194628260000002</v>
      </c>
      <c r="L26" s="89">
        <v>30.194628260000002</v>
      </c>
      <c r="M26" s="89">
        <v>30.194628260000002</v>
      </c>
      <c r="N26" s="89">
        <v>30.194628260000002</v>
      </c>
      <c r="O26" s="89">
        <v>30.194628260000002</v>
      </c>
      <c r="P26" s="89">
        <v>30.194628260000002</v>
      </c>
      <c r="Q26" s="89">
        <v>30.194628260000002</v>
      </c>
      <c r="R26" s="89">
        <v>30.194628260000002</v>
      </c>
      <c r="S26" s="89">
        <v>30.194628260000002</v>
      </c>
      <c r="T26" s="89">
        <v>30.194628260000002</v>
      </c>
      <c r="U26" s="89">
        <v>30.194628260000002</v>
      </c>
      <c r="V26" s="89">
        <v>30.194628260000002</v>
      </c>
      <c r="W26" s="89">
        <v>30.194628260000002</v>
      </c>
      <c r="X26" s="89">
        <v>30.194628260000002</v>
      </c>
      <c r="Y26" s="89">
        <v>30.194628260000002</v>
      </c>
      <c r="Z26" s="89">
        <v>30.194628260000002</v>
      </c>
      <c r="AA26" s="89">
        <v>30.194628260000002</v>
      </c>
      <c r="AB26" s="89">
        <v>30.194628260000002</v>
      </c>
      <c r="AC26" s="89">
        <v>30.194628260000002</v>
      </c>
      <c r="AD26" s="89">
        <v>30.194628260000002</v>
      </c>
      <c r="AE26" s="89">
        <v>30.194628260000002</v>
      </c>
      <c r="AF26" s="89">
        <v>30.194628260000002</v>
      </c>
      <c r="AG26" s="89">
        <v>30.194628260000002</v>
      </c>
      <c r="AH26" s="89">
        <v>30.194628260000002</v>
      </c>
      <c r="AI26" s="89">
        <v>30.194628260000002</v>
      </c>
    </row>
    <row r="27" spans="1:35">
      <c r="A27" t="s">
        <v>400</v>
      </c>
      <c r="B27" t="s">
        <v>575</v>
      </c>
      <c r="C27" t="s">
        <v>583</v>
      </c>
      <c r="D27" t="s">
        <v>577</v>
      </c>
      <c r="E27" s="89">
        <v>39.194628260000002</v>
      </c>
      <c r="F27" s="89">
        <v>39.194628260000002</v>
      </c>
      <c r="G27" s="89">
        <v>39.194628260000002</v>
      </c>
      <c r="H27" s="89">
        <v>39.194628260000002</v>
      </c>
      <c r="I27" s="89">
        <v>39.194628260000002</v>
      </c>
      <c r="J27" s="89">
        <v>39.194628260000002</v>
      </c>
      <c r="K27" s="89">
        <v>39.194628260000002</v>
      </c>
      <c r="L27" s="89">
        <v>39.194628260000002</v>
      </c>
      <c r="M27" s="89">
        <v>39.194628260000002</v>
      </c>
      <c r="N27" s="89">
        <v>39.194628260000002</v>
      </c>
      <c r="O27" s="89">
        <v>39.194628260000002</v>
      </c>
      <c r="P27" s="89">
        <v>39.194628260000002</v>
      </c>
      <c r="Q27" s="89">
        <v>39.194628260000002</v>
      </c>
      <c r="R27" s="89">
        <v>39.194628260000002</v>
      </c>
      <c r="S27" s="89">
        <v>39.194628260000002</v>
      </c>
      <c r="T27" s="89">
        <v>39.194628260000002</v>
      </c>
      <c r="U27" s="89">
        <v>39.194628260000002</v>
      </c>
      <c r="V27" s="89">
        <v>39.194628260000002</v>
      </c>
      <c r="W27" s="89">
        <v>39.194628260000002</v>
      </c>
      <c r="X27" s="89">
        <v>39.194628260000002</v>
      </c>
      <c r="Y27" s="89">
        <v>39.194628260000002</v>
      </c>
      <c r="Z27" s="89">
        <v>39.194628260000002</v>
      </c>
      <c r="AA27" s="89">
        <v>39.194628260000002</v>
      </c>
      <c r="AB27" s="89">
        <v>39.194628260000002</v>
      </c>
      <c r="AC27" s="89">
        <v>39.194628260000002</v>
      </c>
      <c r="AD27" s="89">
        <v>39.194628260000002</v>
      </c>
      <c r="AE27" s="89">
        <v>39.194628260000002</v>
      </c>
      <c r="AF27" s="89">
        <v>39.194628260000002</v>
      </c>
      <c r="AG27" s="89">
        <v>39.194628260000002</v>
      </c>
      <c r="AH27" s="89">
        <v>39.194628260000002</v>
      </c>
      <c r="AI27" s="89">
        <v>39.194628260000002</v>
      </c>
    </row>
    <row r="28" spans="1:35">
      <c r="A28" t="s">
        <v>400</v>
      </c>
      <c r="B28" t="s">
        <v>575</v>
      </c>
      <c r="C28" t="s">
        <v>584</v>
      </c>
      <c r="D28" t="s">
        <v>577</v>
      </c>
      <c r="E28" s="89">
        <v>39.194628260000002</v>
      </c>
      <c r="F28" s="89">
        <v>39.194628260000002</v>
      </c>
      <c r="G28" s="89">
        <v>39.194628260000002</v>
      </c>
      <c r="H28" s="89">
        <v>39.194628260000002</v>
      </c>
      <c r="I28" s="89">
        <v>39.194628260000002</v>
      </c>
      <c r="J28" s="89">
        <v>39.194628260000002</v>
      </c>
      <c r="K28" s="89">
        <v>39.194628260000002</v>
      </c>
      <c r="L28" s="89">
        <v>39.194628260000002</v>
      </c>
      <c r="M28" s="89">
        <v>39.194628260000002</v>
      </c>
      <c r="N28" s="89">
        <v>39.194628260000002</v>
      </c>
      <c r="O28" s="89">
        <v>39.194628260000002</v>
      </c>
      <c r="P28" s="89">
        <v>39.194628260000002</v>
      </c>
      <c r="Q28" s="89">
        <v>39.194628260000002</v>
      </c>
      <c r="R28" s="89">
        <v>39.194628260000002</v>
      </c>
      <c r="S28" s="89">
        <v>39.194628260000002</v>
      </c>
      <c r="T28" s="89">
        <v>39.194628260000002</v>
      </c>
      <c r="U28" s="89">
        <v>39.194628260000002</v>
      </c>
      <c r="V28" s="89">
        <v>39.194628260000002</v>
      </c>
      <c r="W28" s="89">
        <v>39.194628260000002</v>
      </c>
      <c r="X28" s="89">
        <v>39.194628260000002</v>
      </c>
      <c r="Y28" s="89">
        <v>39.194628260000002</v>
      </c>
      <c r="Z28" s="89">
        <v>39.194628260000002</v>
      </c>
      <c r="AA28" s="89">
        <v>39.194628260000002</v>
      </c>
      <c r="AB28" s="89">
        <v>39.194628260000002</v>
      </c>
      <c r="AC28" s="89">
        <v>39.194628260000002</v>
      </c>
      <c r="AD28" s="89">
        <v>39.194628260000002</v>
      </c>
      <c r="AE28" s="89">
        <v>39.194628260000002</v>
      </c>
      <c r="AF28" s="89">
        <v>39.194628260000002</v>
      </c>
      <c r="AG28" s="89">
        <v>39.194628260000002</v>
      </c>
      <c r="AH28" s="89">
        <v>39.194628260000002</v>
      </c>
      <c r="AI28" s="89">
        <v>39.194628260000002</v>
      </c>
    </row>
    <row r="29" spans="1:35">
      <c r="A29" t="s">
        <v>400</v>
      </c>
      <c r="B29" t="s">
        <v>575</v>
      </c>
      <c r="C29" t="s">
        <v>585</v>
      </c>
      <c r="D29" t="s">
        <v>577</v>
      </c>
      <c r="E29" s="89">
        <v>20.2</v>
      </c>
      <c r="F29" s="89">
        <v>19.2</v>
      </c>
      <c r="G29" s="89">
        <v>18.2</v>
      </c>
      <c r="H29" s="89">
        <v>17.2</v>
      </c>
      <c r="I29" s="89">
        <v>16.2</v>
      </c>
      <c r="J29" s="89">
        <v>15.2</v>
      </c>
      <c r="K29" s="89">
        <v>15.2</v>
      </c>
      <c r="L29" s="89">
        <v>15.2</v>
      </c>
      <c r="M29" s="89">
        <v>15.2</v>
      </c>
      <c r="N29" s="89">
        <v>15.2</v>
      </c>
      <c r="O29" s="89">
        <v>15.2</v>
      </c>
      <c r="P29" s="89">
        <v>15.2</v>
      </c>
      <c r="Q29" s="89">
        <v>15.2</v>
      </c>
      <c r="R29" s="89">
        <v>15.2</v>
      </c>
      <c r="S29" s="89">
        <v>15.2</v>
      </c>
      <c r="T29" s="89">
        <v>15.2</v>
      </c>
      <c r="U29" s="89">
        <v>15.2</v>
      </c>
      <c r="V29" s="89">
        <v>15.2</v>
      </c>
      <c r="W29" s="89">
        <v>15.2</v>
      </c>
      <c r="X29" s="89">
        <v>15.2</v>
      </c>
      <c r="Y29" s="89">
        <v>15.2</v>
      </c>
      <c r="Z29" s="89">
        <v>15.2</v>
      </c>
      <c r="AA29" s="89">
        <v>15.2</v>
      </c>
      <c r="AB29" s="89">
        <v>15.2</v>
      </c>
      <c r="AC29" s="89">
        <v>15.2</v>
      </c>
      <c r="AD29" s="89">
        <v>15.2</v>
      </c>
      <c r="AE29" s="89">
        <v>15.2</v>
      </c>
      <c r="AF29" s="89">
        <v>15.2</v>
      </c>
      <c r="AG29" s="89">
        <v>15.2</v>
      </c>
      <c r="AH29" s="89">
        <v>15.2</v>
      </c>
      <c r="AI29" s="89">
        <v>15.2</v>
      </c>
    </row>
    <row r="30" spans="1:35">
      <c r="A30" t="s">
        <v>400</v>
      </c>
      <c r="B30" t="s">
        <v>575</v>
      </c>
      <c r="C30" t="s">
        <v>586</v>
      </c>
      <c r="D30" t="s">
        <v>577</v>
      </c>
      <c r="E30" s="89">
        <v>27.194628260000002</v>
      </c>
      <c r="F30" s="89">
        <v>27.194628260000002</v>
      </c>
      <c r="G30" s="89">
        <v>27.194628260000002</v>
      </c>
      <c r="H30" s="89">
        <v>27.194628260000002</v>
      </c>
      <c r="I30" s="89">
        <v>27.194628260000002</v>
      </c>
      <c r="J30" s="89">
        <v>27.194628260000002</v>
      </c>
      <c r="K30" s="89">
        <v>26.194628260000002</v>
      </c>
      <c r="L30" s="89">
        <v>25.194628260000002</v>
      </c>
      <c r="M30" s="89">
        <v>24.194628260000002</v>
      </c>
      <c r="N30" s="89">
        <v>23.194628260000002</v>
      </c>
      <c r="O30" s="89">
        <v>22.194628260000002</v>
      </c>
      <c r="P30" s="89">
        <v>21.194628260000002</v>
      </c>
      <c r="Q30" s="89">
        <v>20.194628260000002</v>
      </c>
      <c r="R30" s="89">
        <v>20.194628260000002</v>
      </c>
      <c r="S30" s="89">
        <v>20.194628260000002</v>
      </c>
      <c r="T30" s="89">
        <v>20.194628260000002</v>
      </c>
      <c r="U30" s="89">
        <v>20.194628260000002</v>
      </c>
      <c r="V30" s="89">
        <v>15.19462826</v>
      </c>
      <c r="W30" s="89">
        <v>15.19462826</v>
      </c>
      <c r="X30" s="89">
        <v>15.19462826</v>
      </c>
      <c r="Y30" s="89">
        <v>15.19462826</v>
      </c>
      <c r="Z30" s="89">
        <v>15.19462826</v>
      </c>
      <c r="AA30" s="89">
        <v>13.19462826</v>
      </c>
      <c r="AB30" s="89">
        <v>11.19462826</v>
      </c>
      <c r="AC30" s="89">
        <v>9.19462826</v>
      </c>
      <c r="AD30" s="89">
        <v>7.19462826</v>
      </c>
      <c r="AE30" s="89">
        <v>6.19462826</v>
      </c>
      <c r="AF30" s="89">
        <v>5.19462826</v>
      </c>
      <c r="AG30" s="89">
        <v>5.19462826</v>
      </c>
      <c r="AH30" s="89">
        <v>5.19462826</v>
      </c>
      <c r="AI30" s="89">
        <v>5.19462826</v>
      </c>
    </row>
    <row r="31" spans="1:35">
      <c r="A31" t="s">
        <v>400</v>
      </c>
      <c r="B31" t="s">
        <v>575</v>
      </c>
      <c r="C31" t="s">
        <v>587</v>
      </c>
      <c r="D31" t="s">
        <v>577</v>
      </c>
      <c r="E31" s="89">
        <v>30.194628260000002</v>
      </c>
      <c r="F31" s="89">
        <v>30.194628260000002</v>
      </c>
      <c r="G31" s="89">
        <v>30.194628260000002</v>
      </c>
      <c r="H31" s="89">
        <v>30.194628260000002</v>
      </c>
      <c r="I31" s="89">
        <v>30.194628260000002</v>
      </c>
      <c r="J31" s="89">
        <v>30.194628260000002</v>
      </c>
      <c r="K31" s="89">
        <v>30.194628260000002</v>
      </c>
      <c r="L31" s="89">
        <v>30.194628260000002</v>
      </c>
      <c r="M31" s="89">
        <v>30.194628260000002</v>
      </c>
      <c r="N31" s="89">
        <v>30.194628260000002</v>
      </c>
      <c r="O31" s="89">
        <v>30.194628260000002</v>
      </c>
      <c r="P31" s="89">
        <v>30.194628260000002</v>
      </c>
      <c r="Q31" s="89">
        <v>30.194628260000002</v>
      </c>
      <c r="R31" s="89">
        <v>30.194628260000002</v>
      </c>
      <c r="S31" s="89">
        <v>30.194628260000002</v>
      </c>
      <c r="T31" s="89">
        <v>30.194628260000002</v>
      </c>
      <c r="U31" s="89">
        <v>30.194628260000002</v>
      </c>
      <c r="V31" s="89">
        <v>30.194628260000002</v>
      </c>
      <c r="W31" s="89">
        <v>30.194628260000002</v>
      </c>
      <c r="X31" s="89">
        <v>30.194628260000002</v>
      </c>
      <c r="Y31" s="89">
        <v>25.194628260000002</v>
      </c>
      <c r="Z31" s="89">
        <v>20.194628260000002</v>
      </c>
      <c r="AA31" s="89">
        <v>15.19462826</v>
      </c>
      <c r="AB31" s="89">
        <v>10.19462826</v>
      </c>
      <c r="AC31" s="89">
        <v>5.19462826</v>
      </c>
      <c r="AD31" s="89">
        <v>5.19462826</v>
      </c>
      <c r="AE31" s="89">
        <v>5.19462826</v>
      </c>
      <c r="AF31" s="89">
        <v>5.19462826</v>
      </c>
      <c r="AG31" s="89">
        <v>5.19462826</v>
      </c>
      <c r="AH31" s="89">
        <v>5.19462826</v>
      </c>
      <c r="AI31" s="89">
        <v>5.19462826</v>
      </c>
    </row>
    <row r="32" spans="1:35">
      <c r="A32" t="s">
        <v>400</v>
      </c>
      <c r="B32" t="s">
        <v>575</v>
      </c>
      <c r="C32" t="s">
        <v>588</v>
      </c>
      <c r="D32" t="s">
        <v>577</v>
      </c>
      <c r="E32" s="89">
        <v>25.2</v>
      </c>
      <c r="F32" s="89">
        <v>25.2</v>
      </c>
      <c r="G32" s="89">
        <v>25.2</v>
      </c>
      <c r="H32" s="89">
        <v>25.2</v>
      </c>
      <c r="I32" s="89">
        <v>25.2</v>
      </c>
      <c r="J32" s="89">
        <v>25.2</v>
      </c>
      <c r="K32" s="89">
        <v>25.2</v>
      </c>
      <c r="L32" s="89">
        <v>25.2</v>
      </c>
      <c r="M32" s="89">
        <v>25.2</v>
      </c>
      <c r="N32" s="89">
        <v>25.2</v>
      </c>
      <c r="O32" s="89">
        <v>25.2</v>
      </c>
      <c r="P32" s="89">
        <v>24.2</v>
      </c>
      <c r="Q32" s="89">
        <v>23.2</v>
      </c>
      <c r="R32" s="89">
        <v>22.2</v>
      </c>
      <c r="S32" s="89">
        <v>21.2</v>
      </c>
      <c r="T32" s="89">
        <v>20.2</v>
      </c>
      <c r="U32" s="89">
        <v>19.2</v>
      </c>
      <c r="V32" s="89">
        <v>18.2</v>
      </c>
      <c r="W32" s="89">
        <v>17.2</v>
      </c>
      <c r="X32" s="89">
        <v>16.2</v>
      </c>
      <c r="Y32" s="89">
        <v>15.2</v>
      </c>
      <c r="Z32" s="89">
        <v>14.2</v>
      </c>
      <c r="AA32" s="89">
        <v>13.2</v>
      </c>
      <c r="AB32" s="89">
        <v>12.2</v>
      </c>
      <c r="AC32" s="89">
        <v>11.2</v>
      </c>
      <c r="AD32" s="89">
        <v>10.199999999999999</v>
      </c>
      <c r="AE32" s="89">
        <v>10.199999999999999</v>
      </c>
      <c r="AF32" s="89">
        <v>10.199999999999999</v>
      </c>
      <c r="AG32" s="89">
        <v>10.199999999999999</v>
      </c>
      <c r="AH32" s="89">
        <v>10.199999999999999</v>
      </c>
      <c r="AI32" s="89">
        <v>10.199999999999999</v>
      </c>
    </row>
    <row r="33" spans="1:35">
      <c r="A33" t="s">
        <v>400</v>
      </c>
      <c r="B33" t="s">
        <v>575</v>
      </c>
      <c r="C33" t="s">
        <v>589</v>
      </c>
      <c r="D33" t="s">
        <v>577</v>
      </c>
      <c r="E33" s="89">
        <v>28.194628260000002</v>
      </c>
      <c r="F33" s="89">
        <v>28.194628260000002</v>
      </c>
      <c r="G33" s="89">
        <v>28.194628260000002</v>
      </c>
      <c r="H33" s="89">
        <v>28.194628260000002</v>
      </c>
      <c r="I33" s="89">
        <v>28.194628260000002</v>
      </c>
      <c r="J33" s="89">
        <v>28.194628260000002</v>
      </c>
      <c r="K33" s="89">
        <v>28.194628260000002</v>
      </c>
      <c r="L33" s="89">
        <v>28.194628260000002</v>
      </c>
      <c r="M33" s="89">
        <v>28.194628260000002</v>
      </c>
      <c r="N33" s="89">
        <v>28.194628260000002</v>
      </c>
      <c r="O33" s="89">
        <v>28.194628260000002</v>
      </c>
      <c r="P33" s="89">
        <v>28.194628260000002</v>
      </c>
      <c r="Q33" s="89">
        <v>28.194628260000002</v>
      </c>
      <c r="R33" s="89">
        <v>26.194628260000002</v>
      </c>
      <c r="S33" s="89">
        <v>24.194628260000002</v>
      </c>
      <c r="T33" s="89">
        <v>22.194628260000002</v>
      </c>
      <c r="U33" s="89">
        <v>20.194628260000002</v>
      </c>
      <c r="V33" s="89">
        <v>18.194628260000002</v>
      </c>
      <c r="W33" s="89">
        <v>16.194628260000002</v>
      </c>
      <c r="X33" s="89">
        <v>14.19462826</v>
      </c>
      <c r="Y33" s="89">
        <v>12.19462826</v>
      </c>
      <c r="Z33" s="89">
        <v>10.19462826</v>
      </c>
      <c r="AA33" s="89">
        <v>8.19462826</v>
      </c>
      <c r="AB33" s="89">
        <v>6.19462826</v>
      </c>
      <c r="AC33" s="89">
        <v>4.19462826</v>
      </c>
      <c r="AD33" s="89">
        <v>2.19462826</v>
      </c>
      <c r="AE33" s="89">
        <v>1</v>
      </c>
      <c r="AF33" s="89">
        <v>1</v>
      </c>
      <c r="AG33" s="89">
        <v>1</v>
      </c>
      <c r="AH33" s="89">
        <v>1</v>
      </c>
      <c r="AI33" s="89">
        <v>1</v>
      </c>
    </row>
    <row r="34" spans="1:35">
      <c r="A34" t="s">
        <v>400</v>
      </c>
      <c r="B34" t="s">
        <v>575</v>
      </c>
      <c r="C34" t="s">
        <v>590</v>
      </c>
      <c r="D34" t="s">
        <v>577</v>
      </c>
      <c r="E34" s="89">
        <v>39.194628260000002</v>
      </c>
      <c r="F34" s="89">
        <v>39.194628260000002</v>
      </c>
      <c r="G34" s="89">
        <v>39.194628260000002</v>
      </c>
      <c r="H34" s="89">
        <v>39.194628260000002</v>
      </c>
      <c r="I34" s="89">
        <v>39.194628260000002</v>
      </c>
      <c r="J34" s="89">
        <v>39.194628260000002</v>
      </c>
      <c r="K34" s="89">
        <v>39.194628260000002</v>
      </c>
      <c r="L34" s="89">
        <v>39.194628260000002</v>
      </c>
      <c r="M34" s="89">
        <v>39.194628260000002</v>
      </c>
      <c r="N34" s="89">
        <v>39.194628260000002</v>
      </c>
      <c r="O34" s="89">
        <v>39.194628260000002</v>
      </c>
      <c r="P34" s="89">
        <v>39.194628260000002</v>
      </c>
      <c r="Q34" s="89">
        <v>39.194628260000002</v>
      </c>
      <c r="R34" s="89">
        <v>39.194628260000002</v>
      </c>
      <c r="S34" s="89">
        <v>39.194628260000002</v>
      </c>
      <c r="T34" s="89">
        <v>39.194628260000002</v>
      </c>
      <c r="U34" s="89">
        <v>39.194628260000002</v>
      </c>
      <c r="V34" s="89">
        <v>39.194628260000002</v>
      </c>
      <c r="W34" s="89">
        <v>39.194628260000002</v>
      </c>
      <c r="X34" s="89">
        <v>39.194628260000002</v>
      </c>
      <c r="Y34" s="89">
        <v>39.194628260000002</v>
      </c>
      <c r="Z34" s="89">
        <v>39.194628260000002</v>
      </c>
      <c r="AA34" s="89">
        <v>39.194628260000002</v>
      </c>
      <c r="AB34" s="89">
        <v>39.194628260000002</v>
      </c>
      <c r="AC34" s="89">
        <v>39.194628260000002</v>
      </c>
      <c r="AD34" s="89">
        <v>39.194628260000002</v>
      </c>
      <c r="AE34" s="89">
        <v>39.194628260000002</v>
      </c>
      <c r="AF34" s="89">
        <v>39.194628260000002</v>
      </c>
      <c r="AG34" s="89">
        <v>39.194628260000002</v>
      </c>
      <c r="AH34" s="89">
        <v>39.194628260000002</v>
      </c>
      <c r="AI34" s="89">
        <v>39.194628260000002</v>
      </c>
    </row>
    <row r="35" spans="1:35">
      <c r="A35" t="s">
        <v>400</v>
      </c>
      <c r="B35" t="s">
        <v>575</v>
      </c>
      <c r="C35" t="s">
        <v>66</v>
      </c>
      <c r="D35" t="s">
        <v>577</v>
      </c>
      <c r="E35" s="89">
        <v>39.194628260000002</v>
      </c>
      <c r="F35" s="89">
        <v>39.194628260000002</v>
      </c>
      <c r="G35" s="89">
        <v>39.194628260000002</v>
      </c>
      <c r="H35" s="89">
        <v>39.194628260000002</v>
      </c>
      <c r="I35" s="89">
        <v>39.194628260000002</v>
      </c>
      <c r="J35" s="89">
        <v>39.194628260000002</v>
      </c>
      <c r="K35" s="89">
        <v>39.194628260000002</v>
      </c>
      <c r="L35" s="89">
        <v>39.194628260000002</v>
      </c>
      <c r="M35" s="89">
        <v>39.194628260000002</v>
      </c>
      <c r="N35" s="89">
        <v>39.194628260000002</v>
      </c>
      <c r="O35" s="89">
        <v>39.194628260000002</v>
      </c>
      <c r="P35" s="89">
        <v>39.194628260000002</v>
      </c>
      <c r="Q35" s="89">
        <v>39.194628260000002</v>
      </c>
      <c r="R35" s="89">
        <v>39.194628260000002</v>
      </c>
      <c r="S35" s="89">
        <v>39.194628260000002</v>
      </c>
      <c r="T35" s="89">
        <v>39.194628260000002</v>
      </c>
      <c r="U35" s="89">
        <v>39.194628260000002</v>
      </c>
      <c r="V35" s="89">
        <v>39.194628260000002</v>
      </c>
      <c r="W35" s="89">
        <v>39.194628260000002</v>
      </c>
      <c r="X35" s="89">
        <v>39.194628260000002</v>
      </c>
      <c r="Y35" s="89">
        <v>39.194628260000002</v>
      </c>
      <c r="Z35" s="89">
        <v>39.194628260000002</v>
      </c>
      <c r="AA35" s="89">
        <v>39.194628260000002</v>
      </c>
      <c r="AB35" s="89">
        <v>39.194628260000002</v>
      </c>
      <c r="AC35" s="89">
        <v>39.194628260000002</v>
      </c>
      <c r="AD35" s="89">
        <v>39.194628260000002</v>
      </c>
      <c r="AE35" s="89">
        <v>39.194628260000002</v>
      </c>
      <c r="AF35" s="89">
        <v>39.194628260000002</v>
      </c>
      <c r="AG35" s="89">
        <v>39.194628260000002</v>
      </c>
      <c r="AH35" s="89">
        <v>39.194628260000002</v>
      </c>
      <c r="AI35" s="89">
        <v>39.194628260000002</v>
      </c>
    </row>
    <row r="36" spans="1:35">
      <c r="A36" t="s">
        <v>400</v>
      </c>
      <c r="B36" t="s">
        <v>575</v>
      </c>
      <c r="C36" t="s">
        <v>591</v>
      </c>
      <c r="D36" t="s">
        <v>577</v>
      </c>
      <c r="E36" s="89">
        <v>39.194628260000002</v>
      </c>
      <c r="F36" s="89">
        <v>39.194628260000002</v>
      </c>
      <c r="G36" s="89">
        <v>39.194628260000002</v>
      </c>
      <c r="H36" s="89">
        <v>39.194628260000002</v>
      </c>
      <c r="I36" s="89">
        <v>39.194628260000002</v>
      </c>
      <c r="J36" s="89">
        <v>39.194628260000002</v>
      </c>
      <c r="K36" s="89">
        <v>39.194628260000002</v>
      </c>
      <c r="L36" s="89">
        <v>39.194628260000002</v>
      </c>
      <c r="M36" s="89">
        <v>39.194628260000002</v>
      </c>
      <c r="N36" s="89">
        <v>39.194628260000002</v>
      </c>
      <c r="O36" s="89">
        <v>39.194628260000002</v>
      </c>
      <c r="P36" s="89">
        <v>39.194628260000002</v>
      </c>
      <c r="Q36" s="89">
        <v>39.194628260000002</v>
      </c>
      <c r="R36" s="89">
        <v>39.194628260000002</v>
      </c>
      <c r="S36" s="89">
        <v>39.194628260000002</v>
      </c>
      <c r="T36" s="89">
        <v>39.194628260000002</v>
      </c>
      <c r="U36" s="89">
        <v>39.194628260000002</v>
      </c>
      <c r="V36" s="89">
        <v>39.194628260000002</v>
      </c>
      <c r="W36" s="89">
        <v>39.194628260000002</v>
      </c>
      <c r="X36" s="89">
        <v>39.194628260000002</v>
      </c>
      <c r="Y36" s="89">
        <v>39.194628260000002</v>
      </c>
      <c r="Z36" s="89">
        <v>39.194628260000002</v>
      </c>
      <c r="AA36" s="89">
        <v>39.194628260000002</v>
      </c>
      <c r="AB36" s="89">
        <v>39.194628260000002</v>
      </c>
      <c r="AC36" s="89">
        <v>39.194628260000002</v>
      </c>
      <c r="AD36" s="89">
        <v>39.194628260000002</v>
      </c>
      <c r="AE36" s="89">
        <v>39.194628260000002</v>
      </c>
      <c r="AF36" s="89">
        <v>39.194628260000002</v>
      </c>
      <c r="AG36" s="89">
        <v>39.194628260000002</v>
      </c>
      <c r="AH36" s="89">
        <v>39.194628260000002</v>
      </c>
      <c r="AI36" s="89">
        <v>39.194628260000002</v>
      </c>
    </row>
    <row r="37" spans="1:35">
      <c r="A37" t="s">
        <v>400</v>
      </c>
      <c r="B37" t="s">
        <v>575</v>
      </c>
      <c r="C37" t="s">
        <v>592</v>
      </c>
      <c r="D37" t="s">
        <v>577</v>
      </c>
      <c r="E37" s="89">
        <v>39.194628260000002</v>
      </c>
      <c r="F37" s="89">
        <v>39.194628260000002</v>
      </c>
      <c r="G37" s="89">
        <v>39.194628260000002</v>
      </c>
      <c r="H37" s="89">
        <v>39.194628260000002</v>
      </c>
      <c r="I37" s="89">
        <v>39.194628260000002</v>
      </c>
      <c r="J37" s="89">
        <v>39.194628260000002</v>
      </c>
      <c r="K37" s="89">
        <v>39.194628260000002</v>
      </c>
      <c r="L37" s="89">
        <v>39.194628260000002</v>
      </c>
      <c r="M37" s="89">
        <v>39.194628260000002</v>
      </c>
      <c r="N37" s="89">
        <v>39.194628260000002</v>
      </c>
      <c r="O37" s="89">
        <v>39.194628260000002</v>
      </c>
      <c r="P37" s="89">
        <v>39.194628260000002</v>
      </c>
      <c r="Q37" s="89">
        <v>39.194628260000002</v>
      </c>
      <c r="R37" s="89">
        <v>39.194628260000002</v>
      </c>
      <c r="S37" s="89">
        <v>39.194628260000002</v>
      </c>
      <c r="T37" s="89">
        <v>39.194628260000002</v>
      </c>
      <c r="U37" s="89">
        <v>39.194628260000002</v>
      </c>
      <c r="V37" s="89">
        <v>39.194628260000002</v>
      </c>
      <c r="W37" s="89">
        <v>39.194628260000002</v>
      </c>
      <c r="X37" s="89">
        <v>39.194628260000002</v>
      </c>
      <c r="Y37" s="89">
        <v>39.194628260000002</v>
      </c>
      <c r="Z37" s="89">
        <v>39.194628260000002</v>
      </c>
      <c r="AA37" s="89">
        <v>39.194628260000002</v>
      </c>
      <c r="AB37" s="89">
        <v>39.194628260000002</v>
      </c>
      <c r="AC37" s="89">
        <v>39.194628260000002</v>
      </c>
      <c r="AD37" s="89">
        <v>39.194628260000002</v>
      </c>
      <c r="AE37" s="89">
        <v>39.194628260000002</v>
      </c>
      <c r="AF37" s="89">
        <v>39.194628260000002</v>
      </c>
      <c r="AG37" s="89">
        <v>39.194628260000002</v>
      </c>
      <c r="AH37" s="89">
        <v>39.194628260000002</v>
      </c>
      <c r="AI37" s="89">
        <v>39.194628260000002</v>
      </c>
    </row>
    <row r="38" spans="1:35">
      <c r="A38" t="s">
        <v>400</v>
      </c>
      <c r="B38" t="s">
        <v>575</v>
      </c>
      <c r="C38" t="s">
        <v>593</v>
      </c>
      <c r="D38" t="s">
        <v>577</v>
      </c>
      <c r="E38" s="89">
        <v>39.194628260000002</v>
      </c>
      <c r="F38" s="89">
        <v>39.194628260000002</v>
      </c>
      <c r="G38" s="89">
        <v>39.194628260000002</v>
      </c>
      <c r="H38" s="89">
        <v>39.194628260000002</v>
      </c>
      <c r="I38" s="89">
        <v>39.194628260000002</v>
      </c>
      <c r="J38" s="89">
        <v>39.194628260000002</v>
      </c>
      <c r="K38" s="89">
        <v>39.194628260000002</v>
      </c>
      <c r="L38" s="89">
        <v>39.194628260000002</v>
      </c>
      <c r="M38" s="89">
        <v>39.194628260000002</v>
      </c>
      <c r="N38" s="89">
        <v>39.194628260000002</v>
      </c>
      <c r="O38" s="89">
        <v>39.194628260000002</v>
      </c>
      <c r="P38" s="89">
        <v>39.194628260000002</v>
      </c>
      <c r="Q38" s="89">
        <v>39.194628260000002</v>
      </c>
      <c r="R38" s="89">
        <v>39.194628260000002</v>
      </c>
      <c r="S38" s="89">
        <v>39.194628260000002</v>
      </c>
      <c r="T38" s="89">
        <v>39.194628260000002</v>
      </c>
      <c r="U38" s="89">
        <v>39.194628260000002</v>
      </c>
      <c r="V38" s="89">
        <v>39.194628260000002</v>
      </c>
      <c r="W38" s="89">
        <v>39.194628260000002</v>
      </c>
      <c r="X38" s="89">
        <v>39.194628260000002</v>
      </c>
      <c r="Y38" s="89">
        <v>39.194628260000002</v>
      </c>
      <c r="Z38" s="89">
        <v>39.194628260000002</v>
      </c>
      <c r="AA38" s="89">
        <v>39.194628260000002</v>
      </c>
      <c r="AB38" s="89">
        <v>39.194628260000002</v>
      </c>
      <c r="AC38" s="89">
        <v>39.194628260000002</v>
      </c>
      <c r="AD38" s="89">
        <v>39.194628260000002</v>
      </c>
      <c r="AE38" s="89">
        <v>39.194628260000002</v>
      </c>
      <c r="AF38" s="89">
        <v>39.194628260000002</v>
      </c>
      <c r="AG38" s="89">
        <v>39.194628260000002</v>
      </c>
      <c r="AH38" s="89">
        <v>39.194628260000002</v>
      </c>
      <c r="AI38" s="89">
        <v>39.194628260000002</v>
      </c>
    </row>
    <row r="39" spans="1:35">
      <c r="A39" t="s">
        <v>400</v>
      </c>
      <c r="B39" t="s">
        <v>575</v>
      </c>
      <c r="C39" t="s">
        <v>594</v>
      </c>
      <c r="D39" t="s">
        <v>577</v>
      </c>
      <c r="E39" s="89">
        <v>39.194628260000002</v>
      </c>
      <c r="F39" s="89">
        <v>39.194628260000002</v>
      </c>
      <c r="G39" s="89">
        <v>39.194628260000002</v>
      </c>
      <c r="H39" s="89">
        <v>39.194628260000002</v>
      </c>
      <c r="I39" s="89">
        <v>39.194628260000002</v>
      </c>
      <c r="J39" s="89">
        <v>39.194628260000002</v>
      </c>
      <c r="K39" s="89">
        <v>39.194628260000002</v>
      </c>
      <c r="L39" s="89">
        <v>39.194628260000002</v>
      </c>
      <c r="M39" s="89">
        <v>39.194628260000002</v>
      </c>
      <c r="N39" s="89">
        <v>39.194628260000002</v>
      </c>
      <c r="O39" s="89">
        <v>39.194628260000002</v>
      </c>
      <c r="P39" s="89">
        <v>39.194628260000002</v>
      </c>
      <c r="Q39" s="89">
        <v>39.194628260000002</v>
      </c>
      <c r="R39" s="89">
        <v>39.194628260000002</v>
      </c>
      <c r="S39" s="89">
        <v>39.194628260000002</v>
      </c>
      <c r="T39" s="89">
        <v>39.194628260000002</v>
      </c>
      <c r="U39" s="89">
        <v>39.194628260000002</v>
      </c>
      <c r="V39" s="89">
        <v>39.194628260000002</v>
      </c>
      <c r="W39" s="89">
        <v>39.194628260000002</v>
      </c>
      <c r="X39" s="89">
        <v>39.194628260000002</v>
      </c>
      <c r="Y39" s="89">
        <v>39.194628260000002</v>
      </c>
      <c r="Z39" s="89">
        <v>39.194628260000002</v>
      </c>
      <c r="AA39" s="89">
        <v>39.194628260000002</v>
      </c>
      <c r="AB39" s="89">
        <v>39.194628260000002</v>
      </c>
      <c r="AC39" s="89">
        <v>39.194628260000002</v>
      </c>
      <c r="AD39" s="89">
        <v>39.194628260000002</v>
      </c>
      <c r="AE39" s="89">
        <v>39.194628260000002</v>
      </c>
      <c r="AF39" s="89">
        <v>39.194628260000002</v>
      </c>
      <c r="AG39" s="89">
        <v>39.194628260000002</v>
      </c>
      <c r="AH39" s="89">
        <v>39.194628260000002</v>
      </c>
      <c r="AI39" s="89">
        <v>39.194628260000002</v>
      </c>
    </row>
    <row r="40" spans="1:35">
      <c r="A40" t="s">
        <v>400</v>
      </c>
      <c r="B40" t="s">
        <v>575</v>
      </c>
      <c r="C40" t="s">
        <v>595</v>
      </c>
      <c r="D40" t="s">
        <v>577</v>
      </c>
      <c r="E40" s="89">
        <v>39.194628260000002</v>
      </c>
      <c r="F40" s="89">
        <v>39.194628260000002</v>
      </c>
      <c r="G40" s="89">
        <v>39.194628260000002</v>
      </c>
      <c r="H40" s="89">
        <v>39.194628260000002</v>
      </c>
      <c r="I40" s="89">
        <v>39.194628260000002</v>
      </c>
      <c r="J40" s="89">
        <v>39.194628260000002</v>
      </c>
      <c r="K40" s="89">
        <v>39.194628260000002</v>
      </c>
      <c r="L40" s="89">
        <v>39.194628260000002</v>
      </c>
      <c r="M40" s="89">
        <v>39.194628260000002</v>
      </c>
      <c r="N40" s="89">
        <v>39.194628260000002</v>
      </c>
      <c r="O40" s="89">
        <v>39.194628260000002</v>
      </c>
      <c r="P40" s="89">
        <v>39.194628260000002</v>
      </c>
      <c r="Q40" s="89">
        <v>39.194628260000002</v>
      </c>
      <c r="R40" s="89">
        <v>39.194628260000002</v>
      </c>
      <c r="S40" s="89">
        <v>39.194628260000002</v>
      </c>
      <c r="T40" s="89">
        <v>39.194628260000002</v>
      </c>
      <c r="U40" s="89">
        <v>39.194628260000002</v>
      </c>
      <c r="V40" s="89">
        <v>39.194628260000002</v>
      </c>
      <c r="W40" s="89">
        <v>39.194628260000002</v>
      </c>
      <c r="X40" s="89">
        <v>39.194628260000002</v>
      </c>
      <c r="Y40" s="89">
        <v>39.194628260000002</v>
      </c>
      <c r="Z40" s="89">
        <v>39.194628260000002</v>
      </c>
      <c r="AA40" s="89">
        <v>39.194628260000002</v>
      </c>
      <c r="AB40" s="89">
        <v>39.194628260000002</v>
      </c>
      <c r="AC40" s="89">
        <v>39.194628260000002</v>
      </c>
      <c r="AD40" s="89">
        <v>39.194628260000002</v>
      </c>
      <c r="AE40" s="89">
        <v>39.194628260000002</v>
      </c>
      <c r="AF40" s="89">
        <v>39.194628260000002</v>
      </c>
      <c r="AG40" s="89">
        <v>39.194628260000002</v>
      </c>
      <c r="AH40" s="89">
        <v>39.194628260000002</v>
      </c>
      <c r="AI40" s="89">
        <v>39.194628260000002</v>
      </c>
    </row>
    <row r="41" spans="1:35">
      <c r="A41" t="s">
        <v>400</v>
      </c>
      <c r="B41" t="s">
        <v>575</v>
      </c>
      <c r="C41" t="s">
        <v>596</v>
      </c>
      <c r="D41" t="s">
        <v>577</v>
      </c>
      <c r="E41" s="89">
        <v>39.194628260000002</v>
      </c>
      <c r="F41" s="89">
        <v>39.194628260000002</v>
      </c>
      <c r="G41" s="89">
        <v>39.194628260000002</v>
      </c>
      <c r="H41" s="89">
        <v>39.194628260000002</v>
      </c>
      <c r="I41" s="89">
        <v>39.194628260000002</v>
      </c>
      <c r="J41" s="89">
        <v>39.194628260000002</v>
      </c>
      <c r="K41" s="89">
        <v>39.194628260000002</v>
      </c>
      <c r="L41" s="89">
        <v>39.194628260000002</v>
      </c>
      <c r="M41" s="89">
        <v>39.194628260000002</v>
      </c>
      <c r="N41" s="89">
        <v>39.194628260000002</v>
      </c>
      <c r="O41" s="89">
        <v>39.194628260000002</v>
      </c>
      <c r="P41" s="89">
        <v>39.194628260000002</v>
      </c>
      <c r="Q41" s="89">
        <v>39.194628260000002</v>
      </c>
      <c r="R41" s="89">
        <v>39.194628260000002</v>
      </c>
      <c r="S41" s="89">
        <v>39.194628260000002</v>
      </c>
      <c r="T41" s="89">
        <v>39.194628260000002</v>
      </c>
      <c r="U41" s="89">
        <v>39.194628260000002</v>
      </c>
      <c r="V41" s="89">
        <v>39.194628260000002</v>
      </c>
      <c r="W41" s="89">
        <v>39.194628260000002</v>
      </c>
      <c r="X41" s="89">
        <v>39.194628260000002</v>
      </c>
      <c r="Y41" s="89">
        <v>39.194628260000002</v>
      </c>
      <c r="Z41" s="89">
        <v>39.194628260000002</v>
      </c>
      <c r="AA41" s="89">
        <v>39.194628260000002</v>
      </c>
      <c r="AB41" s="89">
        <v>39.194628260000002</v>
      </c>
      <c r="AC41" s="89">
        <v>39.194628260000002</v>
      </c>
      <c r="AD41" s="89">
        <v>39.194628260000002</v>
      </c>
      <c r="AE41" s="89">
        <v>39.194628260000002</v>
      </c>
      <c r="AF41" s="89">
        <v>39.194628260000002</v>
      </c>
      <c r="AG41" s="89">
        <v>39.194628260000002</v>
      </c>
      <c r="AH41" s="89">
        <v>39.194628260000002</v>
      </c>
      <c r="AI41" s="89">
        <v>39.194628260000002</v>
      </c>
    </row>
    <row r="42" spans="1:35">
      <c r="A42" t="s">
        <v>400</v>
      </c>
      <c r="B42" t="s">
        <v>575</v>
      </c>
      <c r="C42" t="s">
        <v>597</v>
      </c>
      <c r="D42" t="s">
        <v>577</v>
      </c>
      <c r="E42" s="89">
        <v>30.194628260000002</v>
      </c>
      <c r="F42" s="89">
        <v>30.194628260000002</v>
      </c>
      <c r="G42" s="89">
        <v>30.194628260000002</v>
      </c>
      <c r="H42" s="89">
        <v>30.194628260000002</v>
      </c>
      <c r="I42" s="89">
        <v>30.194628260000002</v>
      </c>
      <c r="J42" s="89">
        <v>30.194628260000002</v>
      </c>
      <c r="K42" s="89">
        <v>30.194628260000002</v>
      </c>
      <c r="L42" s="89">
        <v>30.194628260000002</v>
      </c>
      <c r="M42" s="89">
        <v>30.194628260000002</v>
      </c>
      <c r="N42" s="89">
        <v>30.194628260000002</v>
      </c>
      <c r="O42" s="89">
        <v>30.194628260000002</v>
      </c>
      <c r="P42" s="89">
        <v>30.194628260000002</v>
      </c>
      <c r="Q42" s="89">
        <v>30.194628260000002</v>
      </c>
      <c r="R42" s="89">
        <v>30.194628260000002</v>
      </c>
      <c r="S42" s="89">
        <v>30.194628260000002</v>
      </c>
      <c r="T42" s="89">
        <v>30.194628260000002</v>
      </c>
      <c r="U42" s="89">
        <v>30.194628260000002</v>
      </c>
      <c r="V42" s="89">
        <v>30.194628260000002</v>
      </c>
      <c r="W42" s="89">
        <v>30.194628260000002</v>
      </c>
      <c r="X42" s="89">
        <v>30.194628260000002</v>
      </c>
      <c r="Y42" s="89">
        <v>30.194628260000002</v>
      </c>
      <c r="Z42" s="89">
        <v>30.194628260000002</v>
      </c>
      <c r="AA42" s="89">
        <v>30.194628260000002</v>
      </c>
      <c r="AB42" s="89">
        <v>30.194628260000002</v>
      </c>
      <c r="AC42" s="89">
        <v>30.194628260000002</v>
      </c>
      <c r="AD42" s="89">
        <v>30.194628260000002</v>
      </c>
      <c r="AE42" s="89">
        <v>30.194628260000002</v>
      </c>
      <c r="AF42" s="89">
        <v>30.194628260000002</v>
      </c>
      <c r="AG42" s="89">
        <v>30.194628260000002</v>
      </c>
      <c r="AH42" s="89">
        <v>30.194628260000002</v>
      </c>
      <c r="AI42" s="89">
        <v>30.194628260000002</v>
      </c>
    </row>
    <row r="43" spans="1:35">
      <c r="A43" t="s">
        <v>400</v>
      </c>
      <c r="B43" t="s">
        <v>575</v>
      </c>
      <c r="C43" t="s">
        <v>598</v>
      </c>
      <c r="D43" t="s">
        <v>577</v>
      </c>
      <c r="E43" s="89">
        <v>30.194628260000002</v>
      </c>
      <c r="F43" s="89">
        <v>30.194628260000002</v>
      </c>
      <c r="G43" s="89">
        <v>30.194628260000002</v>
      </c>
      <c r="H43" s="89">
        <v>30.194628260000002</v>
      </c>
      <c r="I43" s="89">
        <v>30.194628260000002</v>
      </c>
      <c r="J43" s="89">
        <v>30.194628260000002</v>
      </c>
      <c r="K43" s="89">
        <v>30.194628260000002</v>
      </c>
      <c r="L43" s="89">
        <v>30.194628260000002</v>
      </c>
      <c r="M43" s="89">
        <v>30.194628260000002</v>
      </c>
      <c r="N43" s="89">
        <v>30.194628260000002</v>
      </c>
      <c r="O43" s="89">
        <v>30.194628260000002</v>
      </c>
      <c r="P43" s="89">
        <v>30.194628260000002</v>
      </c>
      <c r="Q43" s="89">
        <v>30.194628260000002</v>
      </c>
      <c r="R43" s="89">
        <v>30.194628260000002</v>
      </c>
      <c r="S43" s="89">
        <v>30.194628260000002</v>
      </c>
      <c r="T43" s="89">
        <v>30.194628260000002</v>
      </c>
      <c r="U43" s="89">
        <v>30.194628260000002</v>
      </c>
      <c r="V43" s="89">
        <v>30.194628260000002</v>
      </c>
      <c r="W43" s="89">
        <v>30.194628260000002</v>
      </c>
      <c r="X43" s="89">
        <v>30.194628260000002</v>
      </c>
      <c r="Y43" s="89">
        <v>30.194628260000002</v>
      </c>
      <c r="Z43" s="89">
        <v>30.194628260000002</v>
      </c>
      <c r="AA43" s="89">
        <v>30.194628260000002</v>
      </c>
      <c r="AB43" s="89">
        <v>30.194628260000002</v>
      </c>
      <c r="AC43" s="89">
        <v>30.194628260000002</v>
      </c>
      <c r="AD43" s="89">
        <v>30.194628260000002</v>
      </c>
      <c r="AE43" s="89">
        <v>30.194628260000002</v>
      </c>
      <c r="AF43" s="89">
        <v>30.194628260000002</v>
      </c>
      <c r="AG43" s="89">
        <v>30.194628260000002</v>
      </c>
      <c r="AH43" s="89">
        <v>30.194628260000002</v>
      </c>
      <c r="AI43" s="89">
        <v>30.194628260000002</v>
      </c>
    </row>
    <row r="44" spans="1:35">
      <c r="A44" t="s">
        <v>582</v>
      </c>
      <c r="B44" t="s">
        <v>581</v>
      </c>
      <c r="C44" t="s">
        <v>583</v>
      </c>
      <c r="D44" t="s">
        <v>577</v>
      </c>
      <c r="E44" s="89">
        <v>39.194628260000002</v>
      </c>
      <c r="F44" s="89">
        <v>39.194628260000002</v>
      </c>
      <c r="G44" s="89">
        <v>39.194628260000002</v>
      </c>
      <c r="H44" s="89">
        <v>39.194628260000002</v>
      </c>
      <c r="I44" s="89">
        <v>39.194628260000002</v>
      </c>
      <c r="J44" s="89">
        <v>39.194628260000002</v>
      </c>
      <c r="K44" s="89">
        <v>39.194628260000002</v>
      </c>
      <c r="L44" s="89">
        <v>39.194628260000002</v>
      </c>
      <c r="M44" s="89">
        <v>39.194628260000002</v>
      </c>
      <c r="N44" s="89">
        <v>39.194628260000002</v>
      </c>
      <c r="O44" s="89">
        <v>39.194628260000002</v>
      </c>
      <c r="P44" s="89">
        <v>39.194628260000002</v>
      </c>
      <c r="Q44" s="89">
        <v>39.194628260000002</v>
      </c>
      <c r="R44" s="89">
        <v>39.194628260000002</v>
      </c>
      <c r="S44" s="89">
        <v>39.194628260000002</v>
      </c>
      <c r="T44" s="89">
        <v>39.194628260000002</v>
      </c>
      <c r="U44" s="89">
        <v>39.194628260000002</v>
      </c>
      <c r="V44" s="89">
        <v>39.194628260000002</v>
      </c>
      <c r="W44" s="89">
        <v>39.194628260000002</v>
      </c>
      <c r="X44" s="89">
        <v>39.194628260000002</v>
      </c>
      <c r="Y44" s="89">
        <v>39.194628260000002</v>
      </c>
      <c r="Z44" s="89">
        <v>39.194628260000002</v>
      </c>
      <c r="AA44" s="89">
        <v>39.194628260000002</v>
      </c>
      <c r="AB44" s="89">
        <v>39.194628260000002</v>
      </c>
      <c r="AC44" s="89">
        <v>39.194628260000002</v>
      </c>
      <c r="AD44" s="89">
        <v>39.194628260000002</v>
      </c>
      <c r="AE44" s="89">
        <v>39.194628260000002</v>
      </c>
      <c r="AF44" s="89">
        <v>39.194628260000002</v>
      </c>
      <c r="AG44" s="89">
        <v>39.194628260000002</v>
      </c>
      <c r="AH44" s="89">
        <v>39.194628260000002</v>
      </c>
      <c r="AI44" s="89">
        <v>39.194628260000002</v>
      </c>
    </row>
    <row r="45" spans="1:35">
      <c r="A45" t="s">
        <v>582</v>
      </c>
      <c r="B45" t="s">
        <v>581</v>
      </c>
      <c r="C45" t="s">
        <v>584</v>
      </c>
      <c r="D45" t="s">
        <v>577</v>
      </c>
      <c r="E45" s="89">
        <v>39.194628260000002</v>
      </c>
      <c r="F45" s="89">
        <v>39.194628260000002</v>
      </c>
      <c r="G45" s="89">
        <v>39.194628260000002</v>
      </c>
      <c r="H45" s="89">
        <v>39.194628260000002</v>
      </c>
      <c r="I45" s="89">
        <v>39.194628260000002</v>
      </c>
      <c r="J45" s="89">
        <v>39.194628260000002</v>
      </c>
      <c r="K45" s="89">
        <v>39.194628260000002</v>
      </c>
      <c r="L45" s="89">
        <v>39.194628260000002</v>
      </c>
      <c r="M45" s="89">
        <v>39.194628260000002</v>
      </c>
      <c r="N45" s="89">
        <v>39.194628260000002</v>
      </c>
      <c r="O45" s="89">
        <v>39.194628260000002</v>
      </c>
      <c r="P45" s="89">
        <v>39.194628260000002</v>
      </c>
      <c r="Q45" s="89">
        <v>39.194628260000002</v>
      </c>
      <c r="R45" s="89">
        <v>39.194628260000002</v>
      </c>
      <c r="S45" s="89">
        <v>39.194628260000002</v>
      </c>
      <c r="T45" s="89">
        <v>39.194628260000002</v>
      </c>
      <c r="U45" s="89">
        <v>39.194628260000002</v>
      </c>
      <c r="V45" s="89">
        <v>39.194628260000002</v>
      </c>
      <c r="W45" s="89">
        <v>39.194628260000002</v>
      </c>
      <c r="X45" s="89">
        <v>39.194628260000002</v>
      </c>
      <c r="Y45" s="89">
        <v>39.194628260000002</v>
      </c>
      <c r="Z45" s="89">
        <v>39.194628260000002</v>
      </c>
      <c r="AA45" s="89">
        <v>39.194628260000002</v>
      </c>
      <c r="AB45" s="89">
        <v>39.194628260000002</v>
      </c>
      <c r="AC45" s="89">
        <v>39.194628260000002</v>
      </c>
      <c r="AD45" s="89">
        <v>39.194628260000002</v>
      </c>
      <c r="AE45" s="89">
        <v>39.194628260000002</v>
      </c>
      <c r="AF45" s="89">
        <v>39.194628260000002</v>
      </c>
      <c r="AG45" s="89">
        <v>39.194628260000002</v>
      </c>
      <c r="AH45" s="89">
        <v>39.194628260000002</v>
      </c>
      <c r="AI45" s="89">
        <v>39.194628260000002</v>
      </c>
    </row>
    <row r="46" spans="1:35">
      <c r="A46" t="s">
        <v>582</v>
      </c>
      <c r="B46" t="s">
        <v>581</v>
      </c>
      <c r="C46" t="s">
        <v>585</v>
      </c>
      <c r="D46" t="s">
        <v>577</v>
      </c>
      <c r="E46" s="89">
        <v>20.396930430000001</v>
      </c>
      <c r="F46" s="89">
        <v>19.396930430000001</v>
      </c>
      <c r="G46" s="89">
        <v>18.396930430000001</v>
      </c>
      <c r="H46" s="89">
        <v>17.396930430000001</v>
      </c>
      <c r="I46" s="89">
        <v>16.396930430000001</v>
      </c>
      <c r="J46" s="89">
        <v>15.396930429999999</v>
      </c>
      <c r="K46" s="89">
        <v>15.396930429999999</v>
      </c>
      <c r="L46" s="89">
        <v>15.396930429999999</v>
      </c>
      <c r="M46" s="89">
        <v>15.396930429999999</v>
      </c>
      <c r="N46" s="89">
        <v>15.396930429999999</v>
      </c>
      <c r="O46" s="89">
        <v>15.396930429999999</v>
      </c>
      <c r="P46" s="89">
        <v>15.396930429999999</v>
      </c>
      <c r="Q46" s="89">
        <v>15.396930429999999</v>
      </c>
      <c r="R46" s="89">
        <v>15.396930429999999</v>
      </c>
      <c r="S46" s="89">
        <v>15.396930429999999</v>
      </c>
      <c r="T46" s="89">
        <v>15.396930429999999</v>
      </c>
      <c r="U46" s="89">
        <v>15.396930429999999</v>
      </c>
      <c r="V46" s="89">
        <v>15.396930429999999</v>
      </c>
      <c r="W46" s="89">
        <v>15.396930429999999</v>
      </c>
      <c r="X46" s="89">
        <v>15.396930429999999</v>
      </c>
      <c r="Y46" s="89">
        <v>15.396930429999999</v>
      </c>
      <c r="Z46" s="89">
        <v>15.396930429999999</v>
      </c>
      <c r="AA46" s="89">
        <v>15.396930429999999</v>
      </c>
      <c r="AB46" s="89">
        <v>15.396930429999999</v>
      </c>
      <c r="AC46" s="89">
        <v>15.396930429999999</v>
      </c>
      <c r="AD46" s="89">
        <v>15.396930429999999</v>
      </c>
      <c r="AE46" s="89">
        <v>15.396930429999999</v>
      </c>
      <c r="AF46" s="89">
        <v>15.396930429999999</v>
      </c>
      <c r="AG46" s="89">
        <v>15.396930429999999</v>
      </c>
      <c r="AH46" s="89">
        <v>15.396930429999999</v>
      </c>
      <c r="AI46" s="89">
        <v>15.396930429999999</v>
      </c>
    </row>
    <row r="47" spans="1:35">
      <c r="A47" t="s">
        <v>582</v>
      </c>
      <c r="B47" t="s">
        <v>581</v>
      </c>
      <c r="C47" t="s">
        <v>586</v>
      </c>
      <c r="D47" t="s">
        <v>577</v>
      </c>
      <c r="E47" s="89">
        <v>20.396930430000001</v>
      </c>
      <c r="F47" s="89">
        <v>19.396930430000001</v>
      </c>
      <c r="G47" s="89">
        <v>18.396930430000001</v>
      </c>
      <c r="H47" s="89">
        <v>17.396930430000001</v>
      </c>
      <c r="I47" s="89">
        <v>16.396930430000001</v>
      </c>
      <c r="J47" s="89">
        <v>15.396930429999999</v>
      </c>
      <c r="K47" s="89">
        <v>15.396930429999999</v>
      </c>
      <c r="L47" s="89">
        <v>15.396930429999999</v>
      </c>
      <c r="M47" s="89">
        <v>15.396930429999999</v>
      </c>
      <c r="N47" s="89">
        <v>15.396930429999999</v>
      </c>
      <c r="O47" s="89">
        <v>15.396930429999999</v>
      </c>
      <c r="P47" s="89">
        <v>15.396930429999999</v>
      </c>
      <c r="Q47" s="89">
        <v>15.396930429999999</v>
      </c>
      <c r="R47" s="89">
        <v>15.396930429999999</v>
      </c>
      <c r="S47" s="89">
        <v>15.396930429999999</v>
      </c>
      <c r="T47" s="89">
        <v>10.396930429999999</v>
      </c>
      <c r="U47" s="89">
        <v>10.396930429999999</v>
      </c>
      <c r="V47" s="89">
        <v>10.396930429999999</v>
      </c>
      <c r="W47" s="89">
        <v>10.396930429999999</v>
      </c>
      <c r="X47" s="89">
        <v>10.396930429999999</v>
      </c>
      <c r="Y47" s="89">
        <v>10.396930429999999</v>
      </c>
      <c r="Z47" s="89">
        <v>10.396930429999999</v>
      </c>
      <c r="AA47" s="89">
        <v>10.396930429999999</v>
      </c>
      <c r="AB47" s="89">
        <v>5.3969304300000003</v>
      </c>
      <c r="AC47" s="89">
        <v>5.3969304300000003</v>
      </c>
      <c r="AD47" s="89">
        <v>5.3969304300000003</v>
      </c>
      <c r="AE47" s="89">
        <v>5.3969304300000003</v>
      </c>
      <c r="AF47" s="89">
        <v>5.3969304300000003</v>
      </c>
      <c r="AG47" s="89">
        <v>5.3969304300000003</v>
      </c>
      <c r="AH47" s="89">
        <v>5.3969304300000003</v>
      </c>
      <c r="AI47" s="89">
        <v>5.3969304300000003</v>
      </c>
    </row>
    <row r="48" spans="1:35">
      <c r="A48" t="s">
        <v>582</v>
      </c>
      <c r="B48" t="s">
        <v>581</v>
      </c>
      <c r="C48" t="s">
        <v>587</v>
      </c>
      <c r="D48" t="s">
        <v>577</v>
      </c>
      <c r="E48" s="89">
        <v>39.194628260000002</v>
      </c>
      <c r="F48" s="89">
        <v>39.194628260000002</v>
      </c>
      <c r="G48" s="89">
        <v>39.194628260000002</v>
      </c>
      <c r="H48" s="89">
        <v>39.194628260000002</v>
      </c>
      <c r="I48" s="89">
        <v>39.194628260000002</v>
      </c>
      <c r="J48" s="89">
        <v>39.194628260000002</v>
      </c>
      <c r="K48" s="89">
        <v>39.194628260000002</v>
      </c>
      <c r="L48" s="89">
        <v>39.194628260000002</v>
      </c>
      <c r="M48" s="89">
        <v>39.194628260000002</v>
      </c>
      <c r="N48" s="89">
        <v>39.194628260000002</v>
      </c>
      <c r="O48" s="89">
        <v>39.194628260000002</v>
      </c>
      <c r="P48" s="89">
        <v>39.194628260000002</v>
      </c>
      <c r="Q48" s="89">
        <v>39.194628260000002</v>
      </c>
      <c r="R48" s="89">
        <v>39.194628260000002</v>
      </c>
      <c r="S48" s="89">
        <v>39.194628260000002</v>
      </c>
      <c r="T48" s="89">
        <v>39.194628260000002</v>
      </c>
      <c r="U48" s="89">
        <v>39.194628260000002</v>
      </c>
      <c r="V48" s="89">
        <v>39.194628260000002</v>
      </c>
      <c r="W48" s="89">
        <v>39.194628260000002</v>
      </c>
      <c r="X48" s="89">
        <v>39.194628260000002</v>
      </c>
      <c r="Y48" s="89">
        <v>25.194628260000002</v>
      </c>
      <c r="Z48" s="89">
        <v>20.194628260000002</v>
      </c>
      <c r="AA48" s="89">
        <v>15.19462826</v>
      </c>
      <c r="AB48" s="89">
        <v>10.19462826</v>
      </c>
      <c r="AC48" s="89">
        <v>5.19462826</v>
      </c>
      <c r="AD48" s="89">
        <v>5.19462826</v>
      </c>
      <c r="AE48" s="89">
        <v>5.19462826</v>
      </c>
      <c r="AF48" s="89">
        <v>5.19462826</v>
      </c>
      <c r="AG48" s="89">
        <v>5.19462826</v>
      </c>
      <c r="AH48" s="89">
        <v>5.19462826</v>
      </c>
      <c r="AI48" s="89">
        <v>5.19462826</v>
      </c>
    </row>
    <row r="49" spans="1:35">
      <c r="A49" t="s">
        <v>582</v>
      </c>
      <c r="B49" t="s">
        <v>581</v>
      </c>
      <c r="C49" t="s">
        <v>588</v>
      </c>
      <c r="D49" t="s">
        <v>577</v>
      </c>
      <c r="E49" s="89">
        <v>20.396930430000001</v>
      </c>
      <c r="F49" s="89">
        <v>19.396930430000001</v>
      </c>
      <c r="G49" s="89">
        <v>18.396930430000001</v>
      </c>
      <c r="H49" s="89">
        <v>17.396930430000001</v>
      </c>
      <c r="I49" s="89">
        <v>16.396930430000001</v>
      </c>
      <c r="J49" s="89">
        <v>15.396930429999999</v>
      </c>
      <c r="K49" s="89">
        <v>15.396930429999999</v>
      </c>
      <c r="L49" s="89">
        <v>15.396930429999999</v>
      </c>
      <c r="M49" s="89">
        <v>15.396930429999999</v>
      </c>
      <c r="N49" s="89">
        <v>15.396930429999999</v>
      </c>
      <c r="O49" s="89">
        <v>15.396930429999999</v>
      </c>
      <c r="P49" s="89">
        <v>15.396930429999999</v>
      </c>
      <c r="Q49" s="89">
        <v>15.396930429999999</v>
      </c>
      <c r="R49" s="89">
        <v>15.396930429999999</v>
      </c>
      <c r="S49" s="89">
        <v>15.396930429999999</v>
      </c>
      <c r="T49" s="89">
        <v>10.396930429999999</v>
      </c>
      <c r="U49" s="89">
        <v>10.396930429999999</v>
      </c>
      <c r="V49" s="89">
        <v>10.396930429999999</v>
      </c>
      <c r="W49" s="89">
        <v>10.396930429999999</v>
      </c>
      <c r="X49" s="89">
        <v>10.396930429999999</v>
      </c>
      <c r="Y49" s="89">
        <v>10.396930429999999</v>
      </c>
      <c r="Z49" s="89">
        <v>10.396930429999999</v>
      </c>
      <c r="AA49" s="89">
        <v>10.396930429999999</v>
      </c>
      <c r="AB49" s="89">
        <v>10.396930429999999</v>
      </c>
      <c r="AC49" s="89">
        <v>10.396930429999999</v>
      </c>
      <c r="AD49" s="89">
        <v>5.3969304300000003</v>
      </c>
      <c r="AE49" s="89">
        <v>5.3969304300000003</v>
      </c>
      <c r="AF49" s="89">
        <v>5.3969304300000003</v>
      </c>
      <c r="AG49" s="89">
        <v>5.3969304300000003</v>
      </c>
      <c r="AH49" s="89">
        <v>5.3969304300000003</v>
      </c>
      <c r="AI49" s="89">
        <v>5.3969304300000003</v>
      </c>
    </row>
    <row r="50" spans="1:35">
      <c r="A50" t="s">
        <v>582</v>
      </c>
      <c r="B50" t="s">
        <v>581</v>
      </c>
      <c r="C50" t="s">
        <v>589</v>
      </c>
      <c r="D50" t="s">
        <v>577</v>
      </c>
      <c r="E50" s="89">
        <v>28.194628260000002</v>
      </c>
      <c r="F50" s="89">
        <v>28.194628260000002</v>
      </c>
      <c r="G50" s="89">
        <v>28.194628260000002</v>
      </c>
      <c r="H50" s="89">
        <v>28.194628260000002</v>
      </c>
      <c r="I50" s="89">
        <v>28.194628260000002</v>
      </c>
      <c r="J50" s="89">
        <v>28.194628260000002</v>
      </c>
      <c r="K50" s="89">
        <v>28.194628260000002</v>
      </c>
      <c r="L50" s="89">
        <v>28.194628260000002</v>
      </c>
      <c r="M50" s="89">
        <v>28.194628260000002</v>
      </c>
      <c r="N50" s="89">
        <v>28.194628260000002</v>
      </c>
      <c r="O50" s="89">
        <v>28.194628260000002</v>
      </c>
      <c r="P50" s="89">
        <v>28.194628260000002</v>
      </c>
      <c r="Q50" s="89">
        <v>28.194628260000002</v>
      </c>
      <c r="R50" s="89">
        <v>28.194628260000002</v>
      </c>
      <c r="S50" s="89">
        <v>28.194628260000002</v>
      </c>
      <c r="T50" s="89">
        <v>28.194628260000002</v>
      </c>
      <c r="U50" s="89">
        <v>28.194628260000002</v>
      </c>
      <c r="V50" s="89">
        <v>28.194628260000002</v>
      </c>
      <c r="W50" s="89">
        <v>28.194628260000002</v>
      </c>
      <c r="X50" s="89">
        <v>28.194628260000002</v>
      </c>
      <c r="Y50" s="89">
        <v>12.19462826</v>
      </c>
      <c r="Z50" s="89">
        <v>10.19462826</v>
      </c>
      <c r="AA50" s="89">
        <v>8.19462826</v>
      </c>
      <c r="AB50" s="89">
        <v>6.19462826</v>
      </c>
      <c r="AC50" s="89">
        <v>4.19462826</v>
      </c>
      <c r="AD50" s="89">
        <v>2.19462826</v>
      </c>
      <c r="AE50" s="89">
        <v>1</v>
      </c>
      <c r="AF50" s="89">
        <v>1</v>
      </c>
      <c r="AG50" s="89">
        <v>1</v>
      </c>
      <c r="AH50" s="89">
        <v>1</v>
      </c>
      <c r="AI50" s="89">
        <v>1</v>
      </c>
    </row>
    <row r="51" spans="1:35">
      <c r="A51" t="s">
        <v>582</v>
      </c>
      <c r="B51" t="s">
        <v>581</v>
      </c>
      <c r="C51" t="s">
        <v>590</v>
      </c>
      <c r="D51" t="s">
        <v>577</v>
      </c>
      <c r="E51" s="89">
        <v>39.194628260000002</v>
      </c>
      <c r="F51" s="89">
        <v>39.194628260000002</v>
      </c>
      <c r="G51" s="89">
        <v>39.194628260000002</v>
      </c>
      <c r="H51" s="89">
        <v>39.194628260000002</v>
      </c>
      <c r="I51" s="89">
        <v>39.194628260000002</v>
      </c>
      <c r="J51" s="89">
        <v>39.194628260000002</v>
      </c>
      <c r="K51" s="89">
        <v>39.194628260000002</v>
      </c>
      <c r="L51" s="89">
        <v>39.194628260000002</v>
      </c>
      <c r="M51" s="89">
        <v>39.194628260000002</v>
      </c>
      <c r="N51" s="89">
        <v>39.194628260000002</v>
      </c>
      <c r="O51" s="89">
        <v>39.194628260000002</v>
      </c>
      <c r="P51" s="89">
        <v>39.194628260000002</v>
      </c>
      <c r="Q51" s="89">
        <v>39.194628260000002</v>
      </c>
      <c r="R51" s="89">
        <v>39.194628260000002</v>
      </c>
      <c r="S51" s="89">
        <v>39.194628260000002</v>
      </c>
      <c r="T51" s="89">
        <v>39.194628260000002</v>
      </c>
      <c r="U51" s="89">
        <v>39.194628260000002</v>
      </c>
      <c r="V51" s="89">
        <v>39.194628260000002</v>
      </c>
      <c r="W51" s="89">
        <v>39.194628260000002</v>
      </c>
      <c r="X51" s="89">
        <v>39.194628260000002</v>
      </c>
      <c r="Y51" s="89">
        <v>39.194628260000002</v>
      </c>
      <c r="Z51" s="89">
        <v>39.194628260000002</v>
      </c>
      <c r="AA51" s="89">
        <v>39.194628260000002</v>
      </c>
      <c r="AB51" s="89">
        <v>39.194628260000002</v>
      </c>
      <c r="AC51" s="89">
        <v>39.194628260000002</v>
      </c>
      <c r="AD51" s="89">
        <v>39.194628260000002</v>
      </c>
      <c r="AE51" s="89">
        <v>39.194628260000002</v>
      </c>
      <c r="AF51" s="89">
        <v>39.194628260000002</v>
      </c>
      <c r="AG51" s="89">
        <v>39.194628260000002</v>
      </c>
      <c r="AH51" s="89">
        <v>39.194628260000002</v>
      </c>
      <c r="AI51" s="89">
        <v>39.194628260000002</v>
      </c>
    </row>
    <row r="52" spans="1:35">
      <c r="A52" t="s">
        <v>582</v>
      </c>
      <c r="B52" t="s">
        <v>581</v>
      </c>
      <c r="C52" t="s">
        <v>66</v>
      </c>
      <c r="D52" t="s">
        <v>577</v>
      </c>
      <c r="E52" s="89">
        <v>39.194628260000002</v>
      </c>
      <c r="F52" s="89">
        <v>39.194628260000002</v>
      </c>
      <c r="G52" s="89">
        <v>39.194628260000002</v>
      </c>
      <c r="H52" s="89">
        <v>39.194628260000002</v>
      </c>
      <c r="I52" s="89">
        <v>39.194628260000002</v>
      </c>
      <c r="J52" s="89">
        <v>39.194628260000002</v>
      </c>
      <c r="K52" s="89">
        <v>39.194628260000002</v>
      </c>
      <c r="L52" s="89">
        <v>39.194628260000002</v>
      </c>
      <c r="M52" s="89">
        <v>39.194628260000002</v>
      </c>
      <c r="N52" s="89">
        <v>39.194628260000002</v>
      </c>
      <c r="O52" s="89">
        <v>39.194628260000002</v>
      </c>
      <c r="P52" s="89">
        <v>39.194628260000002</v>
      </c>
      <c r="Q52" s="89">
        <v>39.194628260000002</v>
      </c>
      <c r="R52" s="89">
        <v>39.194628260000002</v>
      </c>
      <c r="S52" s="89">
        <v>39.194628260000002</v>
      </c>
      <c r="T52" s="89">
        <v>39.194628260000002</v>
      </c>
      <c r="U52" s="89">
        <v>39.194628260000002</v>
      </c>
      <c r="V52" s="89">
        <v>39.194628260000002</v>
      </c>
      <c r="W52" s="89">
        <v>39.194628260000002</v>
      </c>
      <c r="X52" s="89">
        <v>39.194628260000002</v>
      </c>
      <c r="Y52" s="89">
        <v>39.194628260000002</v>
      </c>
      <c r="Z52" s="89">
        <v>39.194628260000002</v>
      </c>
      <c r="AA52" s="89">
        <v>39.194628260000002</v>
      </c>
      <c r="AB52" s="89">
        <v>39.194628260000002</v>
      </c>
      <c r="AC52" s="89">
        <v>39.194628260000002</v>
      </c>
      <c r="AD52" s="89">
        <v>39.194628260000002</v>
      </c>
      <c r="AE52" s="89">
        <v>39.194628260000002</v>
      </c>
      <c r="AF52" s="89">
        <v>39.194628260000002</v>
      </c>
      <c r="AG52" s="89">
        <v>39.194628260000002</v>
      </c>
      <c r="AH52" s="89">
        <v>39.194628260000002</v>
      </c>
      <c r="AI52" s="89">
        <v>39.194628260000002</v>
      </c>
    </row>
    <row r="53" spans="1:35">
      <c r="A53" t="s">
        <v>582</v>
      </c>
      <c r="B53" t="s">
        <v>581</v>
      </c>
      <c r="C53" t="s">
        <v>591</v>
      </c>
      <c r="D53" t="s">
        <v>577</v>
      </c>
      <c r="E53" s="89">
        <v>39.194628260000002</v>
      </c>
      <c r="F53" s="89">
        <v>39.194628260000002</v>
      </c>
      <c r="G53" s="89">
        <v>39.194628260000002</v>
      </c>
      <c r="H53" s="89">
        <v>39.194628260000002</v>
      </c>
      <c r="I53" s="89">
        <v>39.194628260000002</v>
      </c>
      <c r="J53" s="89">
        <v>39.194628260000002</v>
      </c>
      <c r="K53" s="89">
        <v>39.194628260000002</v>
      </c>
      <c r="L53" s="89">
        <v>39.194628260000002</v>
      </c>
      <c r="M53" s="89">
        <v>39.194628260000002</v>
      </c>
      <c r="N53" s="89">
        <v>39.194628260000002</v>
      </c>
      <c r="O53" s="89">
        <v>39.194628260000002</v>
      </c>
      <c r="P53" s="89">
        <v>39.194628260000002</v>
      </c>
      <c r="Q53" s="89">
        <v>39.194628260000002</v>
      </c>
      <c r="R53" s="89">
        <v>39.194628260000002</v>
      </c>
      <c r="S53" s="89">
        <v>39.194628260000002</v>
      </c>
      <c r="T53" s="89">
        <v>39.194628260000002</v>
      </c>
      <c r="U53" s="89">
        <v>39.194628260000002</v>
      </c>
      <c r="V53" s="89">
        <v>39.194628260000002</v>
      </c>
      <c r="W53" s="89">
        <v>39.194628260000002</v>
      </c>
      <c r="X53" s="89">
        <v>39.194628260000002</v>
      </c>
      <c r="Y53" s="89">
        <v>39.194628260000002</v>
      </c>
      <c r="Z53" s="89">
        <v>39.194628260000002</v>
      </c>
      <c r="AA53" s="89">
        <v>39.194628260000002</v>
      </c>
      <c r="AB53" s="89">
        <v>39.194628260000002</v>
      </c>
      <c r="AC53" s="89">
        <v>39.194628260000002</v>
      </c>
      <c r="AD53" s="89">
        <v>39.194628260000002</v>
      </c>
      <c r="AE53" s="89">
        <v>39.194628260000002</v>
      </c>
      <c r="AF53" s="89">
        <v>39.194628260000002</v>
      </c>
      <c r="AG53" s="89">
        <v>39.194628260000002</v>
      </c>
      <c r="AH53" s="89">
        <v>39.194628260000002</v>
      </c>
      <c r="AI53" s="89">
        <v>39.194628260000002</v>
      </c>
    </row>
    <row r="54" spans="1:35">
      <c r="A54" t="s">
        <v>582</v>
      </c>
      <c r="B54" t="s">
        <v>581</v>
      </c>
      <c r="C54" t="s">
        <v>592</v>
      </c>
      <c r="D54" t="s">
        <v>577</v>
      </c>
      <c r="E54" s="89">
        <v>39.194628260000002</v>
      </c>
      <c r="F54" s="89">
        <v>39.194628260000002</v>
      </c>
      <c r="G54" s="89">
        <v>39.194628260000002</v>
      </c>
      <c r="H54" s="89">
        <v>39.194628260000002</v>
      </c>
      <c r="I54" s="89">
        <v>39.194628260000002</v>
      </c>
      <c r="J54" s="89">
        <v>39.194628260000002</v>
      </c>
      <c r="K54" s="89">
        <v>39.194628260000002</v>
      </c>
      <c r="L54" s="89">
        <v>39.194628260000002</v>
      </c>
      <c r="M54" s="89">
        <v>39.194628260000002</v>
      </c>
      <c r="N54" s="89">
        <v>39.194628260000002</v>
      </c>
      <c r="O54" s="89">
        <v>39.194628260000002</v>
      </c>
      <c r="P54" s="89">
        <v>39.194628260000002</v>
      </c>
      <c r="Q54" s="89">
        <v>39.194628260000002</v>
      </c>
      <c r="R54" s="89">
        <v>39.194628260000002</v>
      </c>
      <c r="S54" s="89">
        <v>39.194628260000002</v>
      </c>
      <c r="T54" s="89">
        <v>39.194628260000002</v>
      </c>
      <c r="U54" s="89">
        <v>39.194628260000002</v>
      </c>
      <c r="V54" s="89">
        <v>39.194628260000002</v>
      </c>
      <c r="W54" s="89">
        <v>39.194628260000002</v>
      </c>
      <c r="X54" s="89">
        <v>39.194628260000002</v>
      </c>
      <c r="Y54" s="89">
        <v>39.194628260000002</v>
      </c>
      <c r="Z54" s="89">
        <v>39.194628260000002</v>
      </c>
      <c r="AA54" s="89">
        <v>39.194628260000002</v>
      </c>
      <c r="AB54" s="89">
        <v>39.194628260000002</v>
      </c>
      <c r="AC54" s="89">
        <v>39.194628260000002</v>
      </c>
      <c r="AD54" s="89">
        <v>39.194628260000002</v>
      </c>
      <c r="AE54" s="89">
        <v>39.194628260000002</v>
      </c>
      <c r="AF54" s="89">
        <v>39.194628260000002</v>
      </c>
      <c r="AG54" s="89">
        <v>39.194628260000002</v>
      </c>
      <c r="AH54" s="89">
        <v>39.194628260000002</v>
      </c>
      <c r="AI54" s="89">
        <v>39.194628260000002</v>
      </c>
    </row>
    <row r="55" spans="1:35">
      <c r="A55" t="s">
        <v>582</v>
      </c>
      <c r="B55" t="s">
        <v>581</v>
      </c>
      <c r="C55" t="s">
        <v>593</v>
      </c>
      <c r="D55" t="s">
        <v>577</v>
      </c>
      <c r="E55" s="89">
        <v>39.194628260000002</v>
      </c>
      <c r="F55" s="89">
        <v>39.194628260000002</v>
      </c>
      <c r="G55" s="89">
        <v>39.194628260000002</v>
      </c>
      <c r="H55" s="89">
        <v>39.194628260000002</v>
      </c>
      <c r="I55" s="89">
        <v>39.194628260000002</v>
      </c>
      <c r="J55" s="89">
        <v>39.194628260000002</v>
      </c>
      <c r="K55" s="89">
        <v>39.194628260000002</v>
      </c>
      <c r="L55" s="89">
        <v>39.194628260000002</v>
      </c>
      <c r="M55" s="89">
        <v>39.194628260000002</v>
      </c>
      <c r="N55" s="89">
        <v>39.194628260000002</v>
      </c>
      <c r="O55" s="89">
        <v>39.194628260000002</v>
      </c>
      <c r="P55" s="89">
        <v>39.194628260000002</v>
      </c>
      <c r="Q55" s="89">
        <v>39.194628260000002</v>
      </c>
      <c r="R55" s="89">
        <v>39.194628260000002</v>
      </c>
      <c r="S55" s="89">
        <v>39.194628260000002</v>
      </c>
      <c r="T55" s="89">
        <v>39.194628260000002</v>
      </c>
      <c r="U55" s="89">
        <v>39.194628260000002</v>
      </c>
      <c r="V55" s="89">
        <v>39.194628260000002</v>
      </c>
      <c r="W55" s="89">
        <v>39.194628260000002</v>
      </c>
      <c r="X55" s="89">
        <v>39.194628260000002</v>
      </c>
      <c r="Y55" s="89">
        <v>39.194628260000002</v>
      </c>
      <c r="Z55" s="89">
        <v>39.194628260000002</v>
      </c>
      <c r="AA55" s="89">
        <v>39.194628260000002</v>
      </c>
      <c r="AB55" s="89">
        <v>39.194628260000002</v>
      </c>
      <c r="AC55" s="89">
        <v>39.194628260000002</v>
      </c>
      <c r="AD55" s="89">
        <v>39.194628260000002</v>
      </c>
      <c r="AE55" s="89">
        <v>39.194628260000002</v>
      </c>
      <c r="AF55" s="89">
        <v>39.194628260000002</v>
      </c>
      <c r="AG55" s="89">
        <v>39.194628260000002</v>
      </c>
      <c r="AH55" s="89">
        <v>39.194628260000002</v>
      </c>
      <c r="AI55" s="89">
        <v>39.194628260000002</v>
      </c>
    </row>
    <row r="56" spans="1:35">
      <c r="A56" t="s">
        <v>582</v>
      </c>
      <c r="B56" t="s">
        <v>581</v>
      </c>
      <c r="C56" t="s">
        <v>594</v>
      </c>
      <c r="D56" t="s">
        <v>577</v>
      </c>
      <c r="E56" s="89">
        <v>39.194628260000002</v>
      </c>
      <c r="F56" s="89">
        <v>39.194628260000002</v>
      </c>
      <c r="G56" s="89">
        <v>39.194628260000002</v>
      </c>
      <c r="H56" s="89">
        <v>39.194628260000002</v>
      </c>
      <c r="I56" s="89">
        <v>39.194628260000002</v>
      </c>
      <c r="J56" s="89">
        <v>39.194628260000002</v>
      </c>
      <c r="K56" s="89">
        <v>39.194628260000002</v>
      </c>
      <c r="L56" s="89">
        <v>39.194628260000002</v>
      </c>
      <c r="M56" s="89">
        <v>39.194628260000002</v>
      </c>
      <c r="N56" s="89">
        <v>39.194628260000002</v>
      </c>
      <c r="O56" s="89">
        <v>39.194628260000002</v>
      </c>
      <c r="P56" s="89">
        <v>39.194628260000002</v>
      </c>
      <c r="Q56" s="89">
        <v>39.194628260000002</v>
      </c>
      <c r="R56" s="89">
        <v>39.194628260000002</v>
      </c>
      <c r="S56" s="89">
        <v>39.194628260000002</v>
      </c>
      <c r="T56" s="89">
        <v>39.194628260000002</v>
      </c>
      <c r="U56" s="89">
        <v>39.194628260000002</v>
      </c>
      <c r="V56" s="89">
        <v>39.194628260000002</v>
      </c>
      <c r="W56" s="89">
        <v>39.194628260000002</v>
      </c>
      <c r="X56" s="89">
        <v>39.194628260000002</v>
      </c>
      <c r="Y56" s="89">
        <v>39.194628260000002</v>
      </c>
      <c r="Z56" s="89">
        <v>39.194628260000002</v>
      </c>
      <c r="AA56" s="89">
        <v>39.194628260000002</v>
      </c>
      <c r="AB56" s="89">
        <v>39.194628260000002</v>
      </c>
      <c r="AC56" s="89">
        <v>39.194628260000002</v>
      </c>
      <c r="AD56" s="89">
        <v>39.194628260000002</v>
      </c>
      <c r="AE56" s="89">
        <v>39.194628260000002</v>
      </c>
      <c r="AF56" s="89">
        <v>39.194628260000002</v>
      </c>
      <c r="AG56" s="89">
        <v>39.194628260000002</v>
      </c>
      <c r="AH56" s="89">
        <v>39.194628260000002</v>
      </c>
      <c r="AI56" s="89">
        <v>39.194628260000002</v>
      </c>
    </row>
    <row r="57" spans="1:35">
      <c r="A57" t="s">
        <v>582</v>
      </c>
      <c r="B57" t="s">
        <v>581</v>
      </c>
      <c r="C57" t="s">
        <v>595</v>
      </c>
      <c r="D57" t="s">
        <v>577</v>
      </c>
      <c r="E57" s="89">
        <v>39.194628260000002</v>
      </c>
      <c r="F57" s="89">
        <v>39.194628260000002</v>
      </c>
      <c r="G57" s="89">
        <v>39.194628260000002</v>
      </c>
      <c r="H57" s="89">
        <v>39.194628260000002</v>
      </c>
      <c r="I57" s="89">
        <v>39.194628260000002</v>
      </c>
      <c r="J57" s="89">
        <v>39.194628260000002</v>
      </c>
      <c r="K57" s="89">
        <v>39.194628260000002</v>
      </c>
      <c r="L57" s="89">
        <v>39.194628260000002</v>
      </c>
      <c r="M57" s="89">
        <v>39.194628260000002</v>
      </c>
      <c r="N57" s="89">
        <v>39.194628260000002</v>
      </c>
      <c r="O57" s="89">
        <v>39.194628260000002</v>
      </c>
      <c r="P57" s="89">
        <v>39.194628260000002</v>
      </c>
      <c r="Q57" s="89">
        <v>39.194628260000002</v>
      </c>
      <c r="R57" s="89">
        <v>39.194628260000002</v>
      </c>
      <c r="S57" s="89">
        <v>39.194628260000002</v>
      </c>
      <c r="T57" s="89">
        <v>39.194628260000002</v>
      </c>
      <c r="U57" s="89">
        <v>39.194628260000002</v>
      </c>
      <c r="V57" s="89">
        <v>39.194628260000002</v>
      </c>
      <c r="W57" s="89">
        <v>39.194628260000002</v>
      </c>
      <c r="X57" s="89">
        <v>39.194628260000002</v>
      </c>
      <c r="Y57" s="89">
        <v>39.194628260000002</v>
      </c>
      <c r="Z57" s="89">
        <v>39.194628260000002</v>
      </c>
      <c r="AA57" s="89">
        <v>39.194628260000002</v>
      </c>
      <c r="AB57" s="89">
        <v>39.194628260000002</v>
      </c>
      <c r="AC57" s="89">
        <v>39.194628260000002</v>
      </c>
      <c r="AD57" s="89">
        <v>39.194628260000002</v>
      </c>
      <c r="AE57" s="89">
        <v>39.194628260000002</v>
      </c>
      <c r="AF57" s="89">
        <v>39.194628260000002</v>
      </c>
      <c r="AG57" s="89">
        <v>39.194628260000002</v>
      </c>
      <c r="AH57" s="89">
        <v>39.194628260000002</v>
      </c>
      <c r="AI57" s="89">
        <v>39.194628260000002</v>
      </c>
    </row>
    <row r="58" spans="1:35">
      <c r="A58" t="s">
        <v>582</v>
      </c>
      <c r="B58" t="s">
        <v>581</v>
      </c>
      <c r="C58" t="s">
        <v>596</v>
      </c>
      <c r="D58" t="s">
        <v>577</v>
      </c>
      <c r="E58" s="89">
        <v>39.194628260000002</v>
      </c>
      <c r="F58" s="89">
        <v>39.194628260000002</v>
      </c>
      <c r="G58" s="89">
        <v>39.194628260000002</v>
      </c>
      <c r="H58" s="89">
        <v>39.194628260000002</v>
      </c>
      <c r="I58" s="89">
        <v>39.194628260000002</v>
      </c>
      <c r="J58" s="89">
        <v>39.194628260000002</v>
      </c>
      <c r="K58" s="89">
        <v>39.194628260000002</v>
      </c>
      <c r="L58" s="89">
        <v>39.194628260000002</v>
      </c>
      <c r="M58" s="89">
        <v>39.194628260000002</v>
      </c>
      <c r="N58" s="89">
        <v>39.194628260000002</v>
      </c>
      <c r="O58" s="89">
        <v>39.194628260000002</v>
      </c>
      <c r="P58" s="89">
        <v>39.194628260000002</v>
      </c>
      <c r="Q58" s="89">
        <v>39.194628260000002</v>
      </c>
      <c r="R58" s="89">
        <v>39.194628260000002</v>
      </c>
      <c r="S58" s="89">
        <v>39.194628260000002</v>
      </c>
      <c r="T58" s="89">
        <v>39.194628260000002</v>
      </c>
      <c r="U58" s="89">
        <v>39.194628260000002</v>
      </c>
      <c r="V58" s="89">
        <v>39.194628260000002</v>
      </c>
      <c r="W58" s="89">
        <v>39.194628260000002</v>
      </c>
      <c r="X58" s="89">
        <v>39.194628260000002</v>
      </c>
      <c r="Y58" s="89">
        <v>39.194628260000002</v>
      </c>
      <c r="Z58" s="89">
        <v>39.194628260000002</v>
      </c>
      <c r="AA58" s="89">
        <v>39.194628260000002</v>
      </c>
      <c r="AB58" s="89">
        <v>39.194628260000002</v>
      </c>
      <c r="AC58" s="89">
        <v>39.194628260000002</v>
      </c>
      <c r="AD58" s="89">
        <v>39.194628260000002</v>
      </c>
      <c r="AE58" s="89">
        <v>39.194628260000002</v>
      </c>
      <c r="AF58" s="89">
        <v>39.194628260000002</v>
      </c>
      <c r="AG58" s="89">
        <v>39.194628260000002</v>
      </c>
      <c r="AH58" s="89">
        <v>39.194628260000002</v>
      </c>
      <c r="AI58" s="89">
        <v>39.194628260000002</v>
      </c>
    </row>
    <row r="59" spans="1:35">
      <c r="A59" t="s">
        <v>582</v>
      </c>
      <c r="B59" t="s">
        <v>581</v>
      </c>
      <c r="C59" t="s">
        <v>597</v>
      </c>
      <c r="D59" t="s">
        <v>577</v>
      </c>
      <c r="E59" s="89">
        <v>39.194628260000002</v>
      </c>
      <c r="F59" s="89">
        <v>39.194628260000002</v>
      </c>
      <c r="G59" s="89">
        <v>39.194628260000002</v>
      </c>
      <c r="H59" s="89">
        <v>39.194628260000002</v>
      </c>
      <c r="I59" s="89">
        <v>39.194628260000002</v>
      </c>
      <c r="J59" s="89">
        <v>39.194628260000002</v>
      </c>
      <c r="K59" s="89">
        <v>39.194628260000002</v>
      </c>
      <c r="L59" s="89">
        <v>39.194628260000002</v>
      </c>
      <c r="M59" s="89">
        <v>39.194628260000002</v>
      </c>
      <c r="N59" s="89">
        <v>39.194628260000002</v>
      </c>
      <c r="O59" s="89">
        <v>39.194628260000002</v>
      </c>
      <c r="P59" s="89">
        <v>39.194628260000002</v>
      </c>
      <c r="Q59" s="89">
        <v>39.194628260000002</v>
      </c>
      <c r="R59" s="89">
        <v>39.194628260000002</v>
      </c>
      <c r="S59" s="89">
        <v>39.194628260000002</v>
      </c>
      <c r="T59" s="89">
        <v>39.194628260000002</v>
      </c>
      <c r="U59" s="89">
        <v>39.194628260000002</v>
      </c>
      <c r="V59" s="89">
        <v>39.194628260000002</v>
      </c>
      <c r="W59" s="89">
        <v>39.194628260000002</v>
      </c>
      <c r="X59" s="89">
        <v>39.194628260000002</v>
      </c>
      <c r="Y59" s="89">
        <v>39.194628260000002</v>
      </c>
      <c r="Z59" s="89">
        <v>39.194628260000002</v>
      </c>
      <c r="AA59" s="89">
        <v>39.194628260000002</v>
      </c>
      <c r="AB59" s="89">
        <v>39.194628260000002</v>
      </c>
      <c r="AC59" s="89">
        <v>39.194628260000002</v>
      </c>
      <c r="AD59" s="89">
        <v>39.194628260000002</v>
      </c>
      <c r="AE59" s="89">
        <v>39.194628260000002</v>
      </c>
      <c r="AF59" s="89">
        <v>39.194628260000002</v>
      </c>
      <c r="AG59" s="89">
        <v>39.194628260000002</v>
      </c>
      <c r="AH59" s="89">
        <v>39.194628260000002</v>
      </c>
      <c r="AI59" s="89">
        <v>39.194628260000002</v>
      </c>
    </row>
    <row r="60" spans="1:35">
      <c r="A60" t="s">
        <v>582</v>
      </c>
      <c r="B60" t="s">
        <v>581</v>
      </c>
      <c r="C60" t="s">
        <v>598</v>
      </c>
      <c r="D60" t="s">
        <v>577</v>
      </c>
      <c r="E60" s="89">
        <v>39.194628260000002</v>
      </c>
      <c r="F60" s="89">
        <v>39.194628260000002</v>
      </c>
      <c r="G60" s="89">
        <v>39.194628260000002</v>
      </c>
      <c r="H60" s="89">
        <v>39.194628260000002</v>
      </c>
      <c r="I60" s="89">
        <v>39.194628260000002</v>
      </c>
      <c r="J60" s="89">
        <v>39.194628260000002</v>
      </c>
      <c r="K60" s="89">
        <v>39.194628260000002</v>
      </c>
      <c r="L60" s="89">
        <v>39.194628260000002</v>
      </c>
      <c r="M60" s="89">
        <v>39.194628260000002</v>
      </c>
      <c r="N60" s="89">
        <v>39.194628260000002</v>
      </c>
      <c r="O60" s="89">
        <v>39.194628260000002</v>
      </c>
      <c r="P60" s="89">
        <v>39.194628260000002</v>
      </c>
      <c r="Q60" s="89">
        <v>39.194628260000002</v>
      </c>
      <c r="R60" s="89">
        <v>39.194628260000002</v>
      </c>
      <c r="S60" s="89">
        <v>39.194628260000002</v>
      </c>
      <c r="T60" s="89">
        <v>39.194628260000002</v>
      </c>
      <c r="U60" s="89">
        <v>39.194628260000002</v>
      </c>
      <c r="V60" s="89">
        <v>39.194628260000002</v>
      </c>
      <c r="W60" s="89">
        <v>39.194628260000002</v>
      </c>
      <c r="X60" s="89">
        <v>39.194628260000002</v>
      </c>
      <c r="Y60" s="89">
        <v>39.194628260000002</v>
      </c>
      <c r="Z60" s="89">
        <v>39.194628260000002</v>
      </c>
      <c r="AA60" s="89">
        <v>39.194628260000002</v>
      </c>
      <c r="AB60" s="89">
        <v>39.194628260000002</v>
      </c>
      <c r="AC60" s="89">
        <v>39.194628260000002</v>
      </c>
      <c r="AD60" s="89">
        <v>39.194628260000002</v>
      </c>
      <c r="AE60" s="89">
        <v>39.194628260000002</v>
      </c>
      <c r="AF60" s="89">
        <v>39.194628260000002</v>
      </c>
      <c r="AG60" s="89">
        <v>39.194628260000002</v>
      </c>
      <c r="AH60" s="89">
        <v>39.194628260000002</v>
      </c>
      <c r="AI60" s="89">
        <v>39.194628260000002</v>
      </c>
    </row>
    <row r="61" spans="1:35">
      <c r="A61" t="s">
        <v>400</v>
      </c>
      <c r="B61" t="s">
        <v>581</v>
      </c>
      <c r="C61" t="s">
        <v>583</v>
      </c>
      <c r="D61" t="s">
        <v>577</v>
      </c>
      <c r="E61" s="89">
        <v>39.194628260000002</v>
      </c>
      <c r="F61" s="89">
        <v>39.194628260000002</v>
      </c>
      <c r="G61" s="89">
        <v>39.194628260000002</v>
      </c>
      <c r="H61" s="89">
        <v>39.194628260000002</v>
      </c>
      <c r="I61" s="89">
        <v>39.194628260000002</v>
      </c>
      <c r="J61" s="89">
        <v>39.194628260000002</v>
      </c>
      <c r="K61" s="89">
        <v>39.194628260000002</v>
      </c>
      <c r="L61" s="89">
        <v>39.194628260000002</v>
      </c>
      <c r="M61" s="89">
        <v>39.194628260000002</v>
      </c>
      <c r="N61" s="89">
        <v>39.194628260000002</v>
      </c>
      <c r="O61" s="89">
        <v>39.194628260000002</v>
      </c>
      <c r="P61" s="89">
        <v>39.194628260000002</v>
      </c>
      <c r="Q61" s="89">
        <v>39.194628260000002</v>
      </c>
      <c r="R61" s="89">
        <v>39.194628260000002</v>
      </c>
      <c r="S61" s="89">
        <v>39.194628260000002</v>
      </c>
      <c r="T61" s="89">
        <v>39.194628260000002</v>
      </c>
      <c r="U61" s="89">
        <v>39.194628260000002</v>
      </c>
      <c r="V61" s="89">
        <v>39.194628260000002</v>
      </c>
      <c r="W61" s="89">
        <v>39.194628260000002</v>
      </c>
      <c r="X61" s="89">
        <v>39.194628260000002</v>
      </c>
      <c r="Y61" s="89">
        <v>39.194628260000002</v>
      </c>
      <c r="Z61" s="89">
        <v>39.194628260000002</v>
      </c>
      <c r="AA61" s="89">
        <v>39.194628260000002</v>
      </c>
      <c r="AB61" s="89">
        <v>39.194628260000002</v>
      </c>
      <c r="AC61" s="89">
        <v>39.194628260000002</v>
      </c>
      <c r="AD61" s="89">
        <v>39.194628260000002</v>
      </c>
      <c r="AE61" s="89">
        <v>39.194628260000002</v>
      </c>
      <c r="AF61" s="89">
        <v>39.194628260000002</v>
      </c>
      <c r="AG61" s="89">
        <v>39.194628260000002</v>
      </c>
      <c r="AH61" s="89">
        <v>39.194628260000002</v>
      </c>
      <c r="AI61" s="89">
        <v>39.194628260000002</v>
      </c>
    </row>
    <row r="62" spans="1:35">
      <c r="A62" t="s">
        <v>400</v>
      </c>
      <c r="B62" t="s">
        <v>581</v>
      </c>
      <c r="C62" t="s">
        <v>584</v>
      </c>
      <c r="D62" t="s">
        <v>577</v>
      </c>
      <c r="E62" s="89">
        <v>39.194628260000002</v>
      </c>
      <c r="F62" s="89">
        <v>39.194628260000002</v>
      </c>
      <c r="G62" s="89">
        <v>39.194628260000002</v>
      </c>
      <c r="H62" s="89">
        <v>39.194628260000002</v>
      </c>
      <c r="I62" s="89">
        <v>39.194628260000002</v>
      </c>
      <c r="J62" s="89">
        <v>39.194628260000002</v>
      </c>
      <c r="K62" s="89">
        <v>39.194628260000002</v>
      </c>
      <c r="L62" s="89">
        <v>39.194628260000002</v>
      </c>
      <c r="M62" s="89">
        <v>39.194628260000002</v>
      </c>
      <c r="N62" s="89">
        <v>39.194628260000002</v>
      </c>
      <c r="O62" s="89">
        <v>39.194628260000002</v>
      </c>
      <c r="P62" s="89">
        <v>39.194628260000002</v>
      </c>
      <c r="Q62" s="89">
        <v>39.194628260000002</v>
      </c>
      <c r="R62" s="89">
        <v>39.194628260000002</v>
      </c>
      <c r="S62" s="89">
        <v>39.194628260000002</v>
      </c>
      <c r="T62" s="89">
        <v>39.194628260000002</v>
      </c>
      <c r="U62" s="89">
        <v>39.194628260000002</v>
      </c>
      <c r="V62" s="89">
        <v>39.194628260000002</v>
      </c>
      <c r="W62" s="89">
        <v>39.194628260000002</v>
      </c>
      <c r="X62" s="89">
        <v>39.194628260000002</v>
      </c>
      <c r="Y62" s="89">
        <v>39.194628260000002</v>
      </c>
      <c r="Z62" s="89">
        <v>39.194628260000002</v>
      </c>
      <c r="AA62" s="89">
        <v>39.194628260000002</v>
      </c>
      <c r="AB62" s="89">
        <v>39.194628260000002</v>
      </c>
      <c r="AC62" s="89">
        <v>39.194628260000002</v>
      </c>
      <c r="AD62" s="89">
        <v>39.194628260000002</v>
      </c>
      <c r="AE62" s="89">
        <v>39.194628260000002</v>
      </c>
      <c r="AF62" s="89">
        <v>39.194628260000002</v>
      </c>
      <c r="AG62" s="89">
        <v>39.194628260000002</v>
      </c>
      <c r="AH62" s="89">
        <v>39.194628260000002</v>
      </c>
      <c r="AI62" s="89">
        <v>39.194628260000002</v>
      </c>
    </row>
    <row r="63" spans="1:35">
      <c r="A63" t="s">
        <v>400</v>
      </c>
      <c r="B63" t="s">
        <v>581</v>
      </c>
      <c r="C63" t="s">
        <v>585</v>
      </c>
      <c r="D63" t="s">
        <v>577</v>
      </c>
      <c r="E63" s="89">
        <v>20.396930430000001</v>
      </c>
      <c r="F63" s="89">
        <v>19.396930430000001</v>
      </c>
      <c r="G63" s="89">
        <v>18.396930430000001</v>
      </c>
      <c r="H63" s="89">
        <v>17.396930430000001</v>
      </c>
      <c r="I63" s="89">
        <v>16.396930430000001</v>
      </c>
      <c r="J63" s="89">
        <v>15.396930429999999</v>
      </c>
      <c r="K63" s="89">
        <v>15.396930429999999</v>
      </c>
      <c r="L63" s="89">
        <v>15.396930429999999</v>
      </c>
      <c r="M63" s="89">
        <v>15.396930429999999</v>
      </c>
      <c r="N63" s="89">
        <v>15.396930429999999</v>
      </c>
      <c r="O63" s="89">
        <v>15.396930429999999</v>
      </c>
      <c r="P63" s="89">
        <v>15.396930429999999</v>
      </c>
      <c r="Q63" s="89">
        <v>15.396930429999999</v>
      </c>
      <c r="R63" s="89">
        <v>15.396930429999999</v>
      </c>
      <c r="S63" s="89">
        <v>15.396930429999999</v>
      </c>
      <c r="T63" s="89">
        <v>15.396930429999999</v>
      </c>
      <c r="U63" s="89">
        <v>15.396930429999999</v>
      </c>
      <c r="V63" s="89">
        <v>15.396930429999999</v>
      </c>
      <c r="W63" s="89">
        <v>15.396930429999999</v>
      </c>
      <c r="X63" s="89">
        <v>15.396930429999999</v>
      </c>
      <c r="Y63" s="89">
        <v>15.396930429999999</v>
      </c>
      <c r="Z63" s="89">
        <v>15.396930429999999</v>
      </c>
      <c r="AA63" s="89">
        <v>15.396930429999999</v>
      </c>
      <c r="AB63" s="89">
        <v>15.396930429999999</v>
      </c>
      <c r="AC63" s="89">
        <v>15.396930429999999</v>
      </c>
      <c r="AD63" s="89">
        <v>15.396930429999999</v>
      </c>
      <c r="AE63" s="89">
        <v>15.396930429999999</v>
      </c>
      <c r="AF63" s="89">
        <v>15.396930429999999</v>
      </c>
      <c r="AG63" s="89">
        <v>15.396930429999999</v>
      </c>
      <c r="AH63" s="89">
        <v>15.396930429999999</v>
      </c>
      <c r="AI63" s="89">
        <v>15.396930429999999</v>
      </c>
    </row>
    <row r="64" spans="1:35">
      <c r="A64" t="s">
        <v>400</v>
      </c>
      <c r="B64" t="s">
        <v>581</v>
      </c>
      <c r="C64" t="s">
        <v>586</v>
      </c>
      <c r="D64" t="s">
        <v>577</v>
      </c>
      <c r="E64" s="89">
        <v>22.396930430000001</v>
      </c>
      <c r="F64" s="89">
        <v>22.396930430000001</v>
      </c>
      <c r="G64" s="89">
        <v>22.396930430000001</v>
      </c>
      <c r="H64" s="89">
        <v>22.396930430000001</v>
      </c>
      <c r="I64" s="89">
        <v>22.396930430000001</v>
      </c>
      <c r="J64" s="89">
        <v>22.396930430000001</v>
      </c>
      <c r="K64" s="89">
        <v>22.396930430000001</v>
      </c>
      <c r="L64" s="89">
        <v>22.396930430000001</v>
      </c>
      <c r="M64" s="89">
        <v>22.396930430000001</v>
      </c>
      <c r="N64" s="89">
        <v>22.396930430000001</v>
      </c>
      <c r="O64" s="89">
        <v>22.396930430000001</v>
      </c>
      <c r="P64" s="89">
        <v>22.396930430000001</v>
      </c>
      <c r="Q64" s="89">
        <v>22.396930430000001</v>
      </c>
      <c r="R64" s="89">
        <v>22.396930430000001</v>
      </c>
      <c r="S64" s="89">
        <v>21.396930430000001</v>
      </c>
      <c r="T64" s="89">
        <v>20.396930430000001</v>
      </c>
      <c r="U64" s="89">
        <v>19.396930430000001</v>
      </c>
      <c r="V64" s="89">
        <v>18.396930430000001</v>
      </c>
      <c r="W64" s="89">
        <v>17.396930430000001</v>
      </c>
      <c r="X64" s="89">
        <v>16.396930430000001</v>
      </c>
      <c r="Y64" s="89">
        <v>15.396930429999999</v>
      </c>
      <c r="Z64" s="89">
        <v>14.396930429999999</v>
      </c>
      <c r="AA64" s="89">
        <v>13.396930429999999</v>
      </c>
      <c r="AB64" s="89">
        <v>12.396930429999999</v>
      </c>
      <c r="AC64" s="89">
        <v>11.396930429999999</v>
      </c>
      <c r="AD64" s="89">
        <v>10.396930429999999</v>
      </c>
      <c r="AE64" s="89">
        <v>9.3969304299999994</v>
      </c>
      <c r="AF64" s="89">
        <v>8.3969304299999994</v>
      </c>
      <c r="AG64" s="89">
        <v>7.3969304300000003</v>
      </c>
      <c r="AH64" s="89">
        <v>6.3969304300000003</v>
      </c>
      <c r="AI64" s="89">
        <v>5.3969304300000003</v>
      </c>
    </row>
    <row r="65" spans="1:35">
      <c r="A65" t="s">
        <v>400</v>
      </c>
      <c r="B65" t="s">
        <v>581</v>
      </c>
      <c r="C65" t="s">
        <v>587</v>
      </c>
      <c r="D65" t="s">
        <v>577</v>
      </c>
      <c r="E65" s="89">
        <v>39.194628260000002</v>
      </c>
      <c r="F65" s="89">
        <v>39.194628260000002</v>
      </c>
      <c r="G65" s="89">
        <v>39.194628260000002</v>
      </c>
      <c r="H65" s="89">
        <v>39.194628260000002</v>
      </c>
      <c r="I65" s="89">
        <v>39.194628260000002</v>
      </c>
      <c r="J65" s="89">
        <v>39.194628260000002</v>
      </c>
      <c r="K65" s="89">
        <v>39.194628260000002</v>
      </c>
      <c r="L65" s="89">
        <v>39.194628260000002</v>
      </c>
      <c r="M65" s="89">
        <v>39.194628260000002</v>
      </c>
      <c r="N65" s="89">
        <v>39.194628260000002</v>
      </c>
      <c r="O65" s="89">
        <v>39.194628260000002</v>
      </c>
      <c r="P65" s="89">
        <v>39.194628260000002</v>
      </c>
      <c r="Q65" s="89">
        <v>39.194628260000002</v>
      </c>
      <c r="R65" s="89">
        <v>39.194628260000002</v>
      </c>
      <c r="S65" s="89">
        <v>39.194628260000002</v>
      </c>
      <c r="T65" s="89">
        <v>39.194628260000002</v>
      </c>
      <c r="U65" s="89">
        <v>39.194628260000002</v>
      </c>
      <c r="V65" s="89">
        <v>39.194628260000002</v>
      </c>
      <c r="W65" s="89">
        <v>39.194628260000002</v>
      </c>
      <c r="X65" s="89">
        <v>39.194628260000002</v>
      </c>
      <c r="Y65" s="89">
        <v>25.194628260000002</v>
      </c>
      <c r="Z65" s="89">
        <v>20.194628260000002</v>
      </c>
      <c r="AA65" s="89">
        <v>15.19462826</v>
      </c>
      <c r="AB65" s="89">
        <v>10.19462826</v>
      </c>
      <c r="AC65" s="89">
        <v>5.19462826</v>
      </c>
      <c r="AD65" s="89">
        <v>5.19462826</v>
      </c>
      <c r="AE65" s="89">
        <v>5.19462826</v>
      </c>
      <c r="AF65" s="89">
        <v>5.19462826</v>
      </c>
      <c r="AG65" s="89">
        <v>5.19462826</v>
      </c>
      <c r="AH65" s="89">
        <v>5.19462826</v>
      </c>
      <c r="AI65" s="89">
        <v>5.19462826</v>
      </c>
    </row>
    <row r="66" spans="1:35">
      <c r="A66" t="s">
        <v>400</v>
      </c>
      <c r="B66" t="s">
        <v>581</v>
      </c>
      <c r="C66" t="s">
        <v>588</v>
      </c>
      <c r="D66" t="s">
        <v>577</v>
      </c>
      <c r="E66" s="89">
        <v>20.396930430000001</v>
      </c>
      <c r="F66" s="89">
        <v>19.396930430000001</v>
      </c>
      <c r="G66" s="89">
        <v>18.396930430000001</v>
      </c>
      <c r="H66" s="89">
        <v>17.396930430000001</v>
      </c>
      <c r="I66" s="89">
        <v>16.396930430000001</v>
      </c>
      <c r="J66" s="89">
        <v>15.396930429999999</v>
      </c>
      <c r="K66" s="89">
        <v>15.396930429999999</v>
      </c>
      <c r="L66" s="89">
        <v>15.396930429999999</v>
      </c>
      <c r="M66" s="89">
        <v>15.396930429999999</v>
      </c>
      <c r="N66" s="89">
        <v>15.396930429999999</v>
      </c>
      <c r="O66" s="89">
        <v>15.396930429999999</v>
      </c>
      <c r="P66" s="89">
        <v>15.396930429999999</v>
      </c>
      <c r="Q66" s="89">
        <v>15.396930429999999</v>
      </c>
      <c r="R66" s="89">
        <v>15.396930429999999</v>
      </c>
      <c r="S66" s="89">
        <v>15.396930429999999</v>
      </c>
      <c r="T66" s="89">
        <v>10.396930429999999</v>
      </c>
      <c r="U66" s="89">
        <v>10.396930429999999</v>
      </c>
      <c r="V66" s="89">
        <v>10.396930429999999</v>
      </c>
      <c r="W66" s="89">
        <v>10.396930429999999</v>
      </c>
      <c r="X66" s="89">
        <v>10.396930429999999</v>
      </c>
      <c r="Y66" s="89">
        <v>10.396930429999999</v>
      </c>
      <c r="Z66" s="89">
        <v>10.396930429999999</v>
      </c>
      <c r="AA66" s="89">
        <v>10.396930429999999</v>
      </c>
      <c r="AB66" s="89">
        <v>10.396930429999999</v>
      </c>
      <c r="AC66" s="89">
        <v>10.396930429999999</v>
      </c>
      <c r="AD66" s="89">
        <v>5.3969304300000003</v>
      </c>
      <c r="AE66" s="89">
        <v>5.3969304300000003</v>
      </c>
      <c r="AF66" s="89">
        <v>5.3969304300000003</v>
      </c>
      <c r="AG66" s="89">
        <v>5.3969304300000003</v>
      </c>
      <c r="AH66" s="89">
        <v>5.3969304300000003</v>
      </c>
      <c r="AI66" s="89">
        <v>5.3969304300000003</v>
      </c>
    </row>
    <row r="67" spans="1:35">
      <c r="A67" t="s">
        <v>400</v>
      </c>
      <c r="B67" t="s">
        <v>581</v>
      </c>
      <c r="C67" t="s">
        <v>589</v>
      </c>
      <c r="D67" t="s">
        <v>577</v>
      </c>
      <c r="E67" s="89">
        <v>28.194628260000002</v>
      </c>
      <c r="F67" s="89">
        <v>28.194628260000002</v>
      </c>
      <c r="G67" s="89">
        <v>28.194628260000002</v>
      </c>
      <c r="H67" s="89">
        <v>28.194628260000002</v>
      </c>
      <c r="I67" s="89">
        <v>28.194628260000002</v>
      </c>
      <c r="J67" s="89">
        <v>28.194628260000002</v>
      </c>
      <c r="K67" s="89">
        <v>28.194628260000002</v>
      </c>
      <c r="L67" s="89">
        <v>28.194628260000002</v>
      </c>
      <c r="M67" s="89">
        <v>28.194628260000002</v>
      </c>
      <c r="N67" s="89">
        <v>28.194628260000002</v>
      </c>
      <c r="O67" s="89">
        <v>28.194628260000002</v>
      </c>
      <c r="P67" s="89">
        <v>28.194628260000002</v>
      </c>
      <c r="Q67" s="89">
        <v>28.194628260000002</v>
      </c>
      <c r="R67" s="89">
        <v>28.194628260000002</v>
      </c>
      <c r="S67" s="89">
        <v>28.194628260000002</v>
      </c>
      <c r="T67" s="89">
        <v>28.194628260000002</v>
      </c>
      <c r="U67" s="89">
        <v>28.194628260000002</v>
      </c>
      <c r="V67" s="89">
        <v>28.194628260000002</v>
      </c>
      <c r="W67" s="89">
        <v>28.194628260000002</v>
      </c>
      <c r="X67" s="89">
        <v>28.194628260000002</v>
      </c>
      <c r="Y67" s="89">
        <v>12.19462826</v>
      </c>
      <c r="Z67" s="89">
        <v>10.19462826</v>
      </c>
      <c r="AA67" s="89">
        <v>8.19462826</v>
      </c>
      <c r="AB67" s="89">
        <v>6.19462826</v>
      </c>
      <c r="AC67" s="89">
        <v>4.19462826</v>
      </c>
      <c r="AD67" s="89">
        <v>2.19462826</v>
      </c>
      <c r="AE67" s="89">
        <v>1</v>
      </c>
      <c r="AF67" s="89">
        <v>1</v>
      </c>
      <c r="AG67" s="89">
        <v>1</v>
      </c>
      <c r="AH67" s="89">
        <v>1</v>
      </c>
      <c r="AI67" s="89">
        <v>1</v>
      </c>
    </row>
    <row r="68" spans="1:35">
      <c r="A68" t="s">
        <v>400</v>
      </c>
      <c r="B68" t="s">
        <v>581</v>
      </c>
      <c r="C68" t="s">
        <v>590</v>
      </c>
      <c r="D68" t="s">
        <v>577</v>
      </c>
      <c r="E68" s="89">
        <v>39.194628260000002</v>
      </c>
      <c r="F68" s="89">
        <v>39.194628260000002</v>
      </c>
      <c r="G68" s="89">
        <v>39.194628260000002</v>
      </c>
      <c r="H68" s="89">
        <v>39.194628260000002</v>
      </c>
      <c r="I68" s="89">
        <v>39.194628260000002</v>
      </c>
      <c r="J68" s="89">
        <v>39.194628260000002</v>
      </c>
      <c r="K68" s="89">
        <v>39.194628260000002</v>
      </c>
      <c r="L68" s="89">
        <v>39.194628260000002</v>
      </c>
      <c r="M68" s="89">
        <v>39.194628260000002</v>
      </c>
      <c r="N68" s="89">
        <v>39.194628260000002</v>
      </c>
      <c r="O68" s="89">
        <v>39.194628260000002</v>
      </c>
      <c r="P68" s="89">
        <v>39.194628260000002</v>
      </c>
      <c r="Q68" s="89">
        <v>39.194628260000002</v>
      </c>
      <c r="R68" s="89">
        <v>39.194628260000002</v>
      </c>
      <c r="S68" s="89">
        <v>39.194628260000002</v>
      </c>
      <c r="T68" s="89">
        <v>39.194628260000002</v>
      </c>
      <c r="U68" s="89">
        <v>39.194628260000002</v>
      </c>
      <c r="V68" s="89">
        <v>39.194628260000002</v>
      </c>
      <c r="W68" s="89">
        <v>39.194628260000002</v>
      </c>
      <c r="X68" s="89">
        <v>39.194628260000002</v>
      </c>
      <c r="Y68" s="89">
        <v>39.194628260000002</v>
      </c>
      <c r="Z68" s="89">
        <v>39.194628260000002</v>
      </c>
      <c r="AA68" s="89">
        <v>39.194628260000002</v>
      </c>
      <c r="AB68" s="89">
        <v>39.194628260000002</v>
      </c>
      <c r="AC68" s="89">
        <v>39.194628260000002</v>
      </c>
      <c r="AD68" s="89">
        <v>39.194628260000002</v>
      </c>
      <c r="AE68" s="89">
        <v>39.194628260000002</v>
      </c>
      <c r="AF68" s="89">
        <v>39.194628260000002</v>
      </c>
      <c r="AG68" s="89">
        <v>39.194628260000002</v>
      </c>
      <c r="AH68" s="89">
        <v>39.194628260000002</v>
      </c>
      <c r="AI68" s="89">
        <v>39.194628260000002</v>
      </c>
    </row>
    <row r="69" spans="1:35">
      <c r="A69" t="s">
        <v>400</v>
      </c>
      <c r="B69" t="s">
        <v>581</v>
      </c>
      <c r="C69" t="s">
        <v>66</v>
      </c>
      <c r="D69" t="s">
        <v>577</v>
      </c>
      <c r="E69" s="89">
        <v>39.194628260000002</v>
      </c>
      <c r="F69" s="89">
        <v>39.194628260000002</v>
      </c>
      <c r="G69" s="89">
        <v>39.194628260000002</v>
      </c>
      <c r="H69" s="89">
        <v>39.194628260000002</v>
      </c>
      <c r="I69" s="89">
        <v>39.194628260000002</v>
      </c>
      <c r="J69" s="89">
        <v>39.194628260000002</v>
      </c>
      <c r="K69" s="89">
        <v>39.194628260000002</v>
      </c>
      <c r="L69" s="89">
        <v>39.194628260000002</v>
      </c>
      <c r="M69" s="89">
        <v>39.194628260000002</v>
      </c>
      <c r="N69" s="89">
        <v>39.194628260000002</v>
      </c>
      <c r="O69" s="89">
        <v>39.194628260000002</v>
      </c>
      <c r="P69" s="89">
        <v>39.194628260000002</v>
      </c>
      <c r="Q69" s="89">
        <v>39.194628260000002</v>
      </c>
      <c r="R69" s="89">
        <v>39.194628260000002</v>
      </c>
      <c r="S69" s="89">
        <v>39.194628260000002</v>
      </c>
      <c r="T69" s="89">
        <v>39.194628260000002</v>
      </c>
      <c r="U69" s="89">
        <v>39.194628260000002</v>
      </c>
      <c r="V69" s="89">
        <v>39.194628260000002</v>
      </c>
      <c r="W69" s="89">
        <v>39.194628260000002</v>
      </c>
      <c r="X69" s="89">
        <v>39.194628260000002</v>
      </c>
      <c r="Y69" s="89">
        <v>39.194628260000002</v>
      </c>
      <c r="Z69" s="89">
        <v>39.194628260000002</v>
      </c>
      <c r="AA69" s="89">
        <v>39.194628260000002</v>
      </c>
      <c r="AB69" s="89">
        <v>39.194628260000002</v>
      </c>
      <c r="AC69" s="89">
        <v>39.194628260000002</v>
      </c>
      <c r="AD69" s="89">
        <v>39.194628260000002</v>
      </c>
      <c r="AE69" s="89">
        <v>39.194628260000002</v>
      </c>
      <c r="AF69" s="89">
        <v>39.194628260000002</v>
      </c>
      <c r="AG69" s="89">
        <v>39.194628260000002</v>
      </c>
      <c r="AH69" s="89">
        <v>39.194628260000002</v>
      </c>
      <c r="AI69" s="89">
        <v>39.194628260000002</v>
      </c>
    </row>
    <row r="70" spans="1:35">
      <c r="A70" t="s">
        <v>400</v>
      </c>
      <c r="B70" t="s">
        <v>581</v>
      </c>
      <c r="C70" t="s">
        <v>591</v>
      </c>
      <c r="D70" t="s">
        <v>577</v>
      </c>
      <c r="E70" s="89">
        <v>39.194628260000002</v>
      </c>
      <c r="F70" s="89">
        <v>39.194628260000002</v>
      </c>
      <c r="G70" s="89">
        <v>39.194628260000002</v>
      </c>
      <c r="H70" s="89">
        <v>39.194628260000002</v>
      </c>
      <c r="I70" s="89">
        <v>39.194628260000002</v>
      </c>
      <c r="J70" s="89">
        <v>39.194628260000002</v>
      </c>
      <c r="K70" s="89">
        <v>39.194628260000002</v>
      </c>
      <c r="L70" s="89">
        <v>39.194628260000002</v>
      </c>
      <c r="M70" s="89">
        <v>39.194628260000002</v>
      </c>
      <c r="N70" s="89">
        <v>39.194628260000002</v>
      </c>
      <c r="O70" s="89">
        <v>39.194628260000002</v>
      </c>
      <c r="P70" s="89">
        <v>39.194628260000002</v>
      </c>
      <c r="Q70" s="89">
        <v>39.194628260000002</v>
      </c>
      <c r="R70" s="89">
        <v>39.194628260000002</v>
      </c>
      <c r="S70" s="89">
        <v>39.194628260000002</v>
      </c>
      <c r="T70" s="89">
        <v>39.194628260000002</v>
      </c>
      <c r="U70" s="89">
        <v>39.194628260000002</v>
      </c>
      <c r="V70" s="89">
        <v>39.194628260000002</v>
      </c>
      <c r="W70" s="89">
        <v>39.194628260000002</v>
      </c>
      <c r="X70" s="89">
        <v>39.194628260000002</v>
      </c>
      <c r="Y70" s="89">
        <v>39.194628260000002</v>
      </c>
      <c r="Z70" s="89">
        <v>39.194628260000002</v>
      </c>
      <c r="AA70" s="89">
        <v>39.194628260000002</v>
      </c>
      <c r="AB70" s="89">
        <v>39.194628260000002</v>
      </c>
      <c r="AC70" s="89">
        <v>39.194628260000002</v>
      </c>
      <c r="AD70" s="89">
        <v>39.194628260000002</v>
      </c>
      <c r="AE70" s="89">
        <v>39.194628260000002</v>
      </c>
      <c r="AF70" s="89">
        <v>39.194628260000002</v>
      </c>
      <c r="AG70" s="89">
        <v>39.194628260000002</v>
      </c>
      <c r="AH70" s="89">
        <v>39.194628260000002</v>
      </c>
      <c r="AI70" s="89">
        <v>39.194628260000002</v>
      </c>
    </row>
    <row r="71" spans="1:35">
      <c r="A71" t="s">
        <v>400</v>
      </c>
      <c r="B71" t="s">
        <v>581</v>
      </c>
      <c r="C71" t="s">
        <v>592</v>
      </c>
      <c r="D71" t="s">
        <v>577</v>
      </c>
      <c r="E71" s="89">
        <v>39.194628260000002</v>
      </c>
      <c r="F71" s="89">
        <v>39.194628260000002</v>
      </c>
      <c r="G71" s="89">
        <v>39.194628260000002</v>
      </c>
      <c r="H71" s="89">
        <v>39.194628260000002</v>
      </c>
      <c r="I71" s="89">
        <v>39.194628260000002</v>
      </c>
      <c r="J71" s="89">
        <v>39.194628260000002</v>
      </c>
      <c r="K71" s="89">
        <v>39.194628260000002</v>
      </c>
      <c r="L71" s="89">
        <v>39.194628260000002</v>
      </c>
      <c r="M71" s="89">
        <v>39.194628260000002</v>
      </c>
      <c r="N71" s="89">
        <v>39.194628260000002</v>
      </c>
      <c r="O71" s="89">
        <v>39.194628260000002</v>
      </c>
      <c r="P71" s="89">
        <v>39.194628260000002</v>
      </c>
      <c r="Q71" s="89">
        <v>39.194628260000002</v>
      </c>
      <c r="R71" s="89">
        <v>39.194628260000002</v>
      </c>
      <c r="S71" s="89">
        <v>39.194628260000002</v>
      </c>
      <c r="T71" s="89">
        <v>39.194628260000002</v>
      </c>
      <c r="U71" s="89">
        <v>39.194628260000002</v>
      </c>
      <c r="V71" s="89">
        <v>39.194628260000002</v>
      </c>
      <c r="W71" s="89">
        <v>39.194628260000002</v>
      </c>
      <c r="X71" s="89">
        <v>39.194628260000002</v>
      </c>
      <c r="Y71" s="89">
        <v>39.194628260000002</v>
      </c>
      <c r="Z71" s="89">
        <v>39.194628260000002</v>
      </c>
      <c r="AA71" s="89">
        <v>39.194628260000002</v>
      </c>
      <c r="AB71" s="89">
        <v>39.194628260000002</v>
      </c>
      <c r="AC71" s="89">
        <v>39.194628260000002</v>
      </c>
      <c r="AD71" s="89">
        <v>39.194628260000002</v>
      </c>
      <c r="AE71" s="89">
        <v>39.194628260000002</v>
      </c>
      <c r="AF71" s="89">
        <v>39.194628260000002</v>
      </c>
      <c r="AG71" s="89">
        <v>39.194628260000002</v>
      </c>
      <c r="AH71" s="89">
        <v>39.194628260000002</v>
      </c>
      <c r="AI71" s="89">
        <v>39.194628260000002</v>
      </c>
    </row>
    <row r="72" spans="1:35">
      <c r="A72" t="s">
        <v>400</v>
      </c>
      <c r="B72" t="s">
        <v>581</v>
      </c>
      <c r="C72" t="s">
        <v>593</v>
      </c>
      <c r="D72" t="s">
        <v>577</v>
      </c>
      <c r="E72" s="89">
        <v>39.194628260000002</v>
      </c>
      <c r="F72" s="89">
        <v>39.194628260000002</v>
      </c>
      <c r="G72" s="89">
        <v>39.194628260000002</v>
      </c>
      <c r="H72" s="89">
        <v>39.194628260000002</v>
      </c>
      <c r="I72" s="89">
        <v>39.194628260000002</v>
      </c>
      <c r="J72" s="89">
        <v>39.194628260000002</v>
      </c>
      <c r="K72" s="89">
        <v>39.194628260000002</v>
      </c>
      <c r="L72" s="89">
        <v>39.194628260000002</v>
      </c>
      <c r="M72" s="89">
        <v>39.194628260000002</v>
      </c>
      <c r="N72" s="89">
        <v>39.194628260000002</v>
      </c>
      <c r="O72" s="89">
        <v>39.194628260000002</v>
      </c>
      <c r="P72" s="89">
        <v>39.194628260000002</v>
      </c>
      <c r="Q72" s="89">
        <v>39.194628260000002</v>
      </c>
      <c r="R72" s="89">
        <v>39.194628260000002</v>
      </c>
      <c r="S72" s="89">
        <v>39.194628260000002</v>
      </c>
      <c r="T72" s="89">
        <v>39.194628260000002</v>
      </c>
      <c r="U72" s="89">
        <v>39.194628260000002</v>
      </c>
      <c r="V72" s="89">
        <v>39.194628260000002</v>
      </c>
      <c r="W72" s="89">
        <v>39.194628260000002</v>
      </c>
      <c r="X72" s="89">
        <v>39.194628260000002</v>
      </c>
      <c r="Y72" s="89">
        <v>39.194628260000002</v>
      </c>
      <c r="Z72" s="89">
        <v>39.194628260000002</v>
      </c>
      <c r="AA72" s="89">
        <v>39.194628260000002</v>
      </c>
      <c r="AB72" s="89">
        <v>39.194628260000002</v>
      </c>
      <c r="AC72" s="89">
        <v>39.194628260000002</v>
      </c>
      <c r="AD72" s="89">
        <v>39.194628260000002</v>
      </c>
      <c r="AE72" s="89">
        <v>39.194628260000002</v>
      </c>
      <c r="AF72" s="89">
        <v>39.194628260000002</v>
      </c>
      <c r="AG72" s="89">
        <v>39.194628260000002</v>
      </c>
      <c r="AH72" s="89">
        <v>39.194628260000002</v>
      </c>
      <c r="AI72" s="89">
        <v>39.194628260000002</v>
      </c>
    </row>
    <row r="73" spans="1:35">
      <c r="A73" t="s">
        <v>400</v>
      </c>
      <c r="B73" t="s">
        <v>581</v>
      </c>
      <c r="C73" t="s">
        <v>594</v>
      </c>
      <c r="D73" t="s">
        <v>577</v>
      </c>
      <c r="E73" s="89">
        <v>39.194628260000002</v>
      </c>
      <c r="F73" s="89">
        <v>39.194628260000002</v>
      </c>
      <c r="G73" s="89">
        <v>39.194628260000002</v>
      </c>
      <c r="H73" s="89">
        <v>39.194628260000002</v>
      </c>
      <c r="I73" s="89">
        <v>39.194628260000002</v>
      </c>
      <c r="J73" s="89">
        <v>39.194628260000002</v>
      </c>
      <c r="K73" s="89">
        <v>39.194628260000002</v>
      </c>
      <c r="L73" s="89">
        <v>39.194628260000002</v>
      </c>
      <c r="M73" s="89">
        <v>39.194628260000002</v>
      </c>
      <c r="N73" s="89">
        <v>39.194628260000002</v>
      </c>
      <c r="O73" s="89">
        <v>39.194628260000002</v>
      </c>
      <c r="P73" s="89">
        <v>39.194628260000002</v>
      </c>
      <c r="Q73" s="89">
        <v>39.194628260000002</v>
      </c>
      <c r="R73" s="89">
        <v>39.194628260000002</v>
      </c>
      <c r="S73" s="89">
        <v>39.194628260000002</v>
      </c>
      <c r="T73" s="89">
        <v>39.194628260000002</v>
      </c>
      <c r="U73" s="89">
        <v>39.194628260000002</v>
      </c>
      <c r="V73" s="89">
        <v>39.194628260000002</v>
      </c>
      <c r="W73" s="89">
        <v>39.194628260000002</v>
      </c>
      <c r="X73" s="89">
        <v>39.194628260000002</v>
      </c>
      <c r="Y73" s="89">
        <v>39.194628260000002</v>
      </c>
      <c r="Z73" s="89">
        <v>39.194628260000002</v>
      </c>
      <c r="AA73" s="89">
        <v>39.194628260000002</v>
      </c>
      <c r="AB73" s="89">
        <v>39.194628260000002</v>
      </c>
      <c r="AC73" s="89">
        <v>39.194628260000002</v>
      </c>
      <c r="AD73" s="89">
        <v>39.194628260000002</v>
      </c>
      <c r="AE73" s="89">
        <v>39.194628260000002</v>
      </c>
      <c r="AF73" s="89">
        <v>39.194628260000002</v>
      </c>
      <c r="AG73" s="89">
        <v>39.194628260000002</v>
      </c>
      <c r="AH73" s="89">
        <v>39.194628260000002</v>
      </c>
      <c r="AI73" s="89">
        <v>39.194628260000002</v>
      </c>
    </row>
    <row r="74" spans="1:35">
      <c r="A74" t="s">
        <v>400</v>
      </c>
      <c r="B74" t="s">
        <v>581</v>
      </c>
      <c r="C74" t="s">
        <v>595</v>
      </c>
      <c r="D74" t="s">
        <v>577</v>
      </c>
      <c r="E74" s="89">
        <v>39.194628260000002</v>
      </c>
      <c r="F74" s="89">
        <v>39.194628260000002</v>
      </c>
      <c r="G74" s="89">
        <v>39.194628260000002</v>
      </c>
      <c r="H74" s="89">
        <v>39.194628260000002</v>
      </c>
      <c r="I74" s="89">
        <v>39.194628260000002</v>
      </c>
      <c r="J74" s="89">
        <v>39.194628260000002</v>
      </c>
      <c r="K74" s="89">
        <v>39.194628260000002</v>
      </c>
      <c r="L74" s="89">
        <v>39.194628260000002</v>
      </c>
      <c r="M74" s="89">
        <v>39.194628260000002</v>
      </c>
      <c r="N74" s="89">
        <v>39.194628260000002</v>
      </c>
      <c r="O74" s="89">
        <v>39.194628260000002</v>
      </c>
      <c r="P74" s="89">
        <v>39.194628260000002</v>
      </c>
      <c r="Q74" s="89">
        <v>39.194628260000002</v>
      </c>
      <c r="R74" s="89">
        <v>39.194628260000002</v>
      </c>
      <c r="S74" s="89">
        <v>39.194628260000002</v>
      </c>
      <c r="T74" s="89">
        <v>39.194628260000002</v>
      </c>
      <c r="U74" s="89">
        <v>39.194628260000002</v>
      </c>
      <c r="V74" s="89">
        <v>39.194628260000002</v>
      </c>
      <c r="W74" s="89">
        <v>39.194628260000002</v>
      </c>
      <c r="X74" s="89">
        <v>39.194628260000002</v>
      </c>
      <c r="Y74" s="89">
        <v>39.194628260000002</v>
      </c>
      <c r="Z74" s="89">
        <v>39.194628260000002</v>
      </c>
      <c r="AA74" s="89">
        <v>39.194628260000002</v>
      </c>
      <c r="AB74" s="89">
        <v>39.194628260000002</v>
      </c>
      <c r="AC74" s="89">
        <v>39.194628260000002</v>
      </c>
      <c r="AD74" s="89">
        <v>39.194628260000002</v>
      </c>
      <c r="AE74" s="89">
        <v>39.194628260000002</v>
      </c>
      <c r="AF74" s="89">
        <v>39.194628260000002</v>
      </c>
      <c r="AG74" s="89">
        <v>39.194628260000002</v>
      </c>
      <c r="AH74" s="89">
        <v>39.194628260000002</v>
      </c>
      <c r="AI74" s="89">
        <v>39.194628260000002</v>
      </c>
    </row>
    <row r="75" spans="1:35">
      <c r="A75" t="s">
        <v>400</v>
      </c>
      <c r="B75" t="s">
        <v>581</v>
      </c>
      <c r="C75" t="s">
        <v>596</v>
      </c>
      <c r="D75" t="s">
        <v>577</v>
      </c>
      <c r="E75" s="89">
        <v>39.194628260000002</v>
      </c>
      <c r="F75" s="89">
        <v>39.194628260000002</v>
      </c>
      <c r="G75" s="89">
        <v>39.194628260000002</v>
      </c>
      <c r="H75" s="89">
        <v>39.194628260000002</v>
      </c>
      <c r="I75" s="89">
        <v>39.194628260000002</v>
      </c>
      <c r="J75" s="89">
        <v>39.194628260000002</v>
      </c>
      <c r="K75" s="89">
        <v>39.194628260000002</v>
      </c>
      <c r="L75" s="89">
        <v>39.194628260000002</v>
      </c>
      <c r="M75" s="89">
        <v>39.194628260000002</v>
      </c>
      <c r="N75" s="89">
        <v>39.194628260000002</v>
      </c>
      <c r="O75" s="89">
        <v>39.194628260000002</v>
      </c>
      <c r="P75" s="89">
        <v>39.194628260000002</v>
      </c>
      <c r="Q75" s="89">
        <v>39.194628260000002</v>
      </c>
      <c r="R75" s="89">
        <v>39.194628260000002</v>
      </c>
      <c r="S75" s="89">
        <v>39.194628260000002</v>
      </c>
      <c r="T75" s="89">
        <v>39.194628260000002</v>
      </c>
      <c r="U75" s="89">
        <v>39.194628260000002</v>
      </c>
      <c r="V75" s="89">
        <v>39.194628260000002</v>
      </c>
      <c r="W75" s="89">
        <v>39.194628260000002</v>
      </c>
      <c r="X75" s="89">
        <v>39.194628260000002</v>
      </c>
      <c r="Y75" s="89">
        <v>39.194628260000002</v>
      </c>
      <c r="Z75" s="89">
        <v>39.194628260000002</v>
      </c>
      <c r="AA75" s="89">
        <v>39.194628260000002</v>
      </c>
      <c r="AB75" s="89">
        <v>39.194628260000002</v>
      </c>
      <c r="AC75" s="89">
        <v>39.194628260000002</v>
      </c>
      <c r="AD75" s="89">
        <v>39.194628260000002</v>
      </c>
      <c r="AE75" s="89">
        <v>39.194628260000002</v>
      </c>
      <c r="AF75" s="89">
        <v>39.194628260000002</v>
      </c>
      <c r="AG75" s="89">
        <v>39.194628260000002</v>
      </c>
      <c r="AH75" s="89">
        <v>39.194628260000002</v>
      </c>
      <c r="AI75" s="89">
        <v>39.194628260000002</v>
      </c>
    </row>
    <row r="76" spans="1:35">
      <c r="A76" t="s">
        <v>400</v>
      </c>
      <c r="B76" t="s">
        <v>581</v>
      </c>
      <c r="C76" t="s">
        <v>597</v>
      </c>
      <c r="D76" t="s">
        <v>577</v>
      </c>
      <c r="E76" s="89">
        <v>39.194628260000002</v>
      </c>
      <c r="F76" s="89">
        <v>39.194628260000002</v>
      </c>
      <c r="G76" s="89">
        <v>39.194628260000002</v>
      </c>
      <c r="H76" s="89">
        <v>39.194628260000002</v>
      </c>
      <c r="I76" s="89">
        <v>39.194628260000002</v>
      </c>
      <c r="J76" s="89">
        <v>39.194628260000002</v>
      </c>
      <c r="K76" s="89">
        <v>39.194628260000002</v>
      </c>
      <c r="L76" s="89">
        <v>39.194628260000002</v>
      </c>
      <c r="M76" s="89">
        <v>39.194628260000002</v>
      </c>
      <c r="N76" s="89">
        <v>39.194628260000002</v>
      </c>
      <c r="O76" s="89">
        <v>39.194628260000002</v>
      </c>
      <c r="P76" s="89">
        <v>39.194628260000002</v>
      </c>
      <c r="Q76" s="89">
        <v>39.194628260000002</v>
      </c>
      <c r="R76" s="89">
        <v>39.194628260000002</v>
      </c>
      <c r="S76" s="89">
        <v>39.194628260000002</v>
      </c>
      <c r="T76" s="89">
        <v>39.194628260000002</v>
      </c>
      <c r="U76" s="89">
        <v>39.194628260000002</v>
      </c>
      <c r="V76" s="89">
        <v>39.194628260000002</v>
      </c>
      <c r="W76" s="89">
        <v>39.194628260000002</v>
      </c>
      <c r="X76" s="89">
        <v>39.194628260000002</v>
      </c>
      <c r="Y76" s="89">
        <v>39.194628260000002</v>
      </c>
      <c r="Z76" s="89">
        <v>39.194628260000002</v>
      </c>
      <c r="AA76" s="89">
        <v>39.194628260000002</v>
      </c>
      <c r="AB76" s="89">
        <v>39.194628260000002</v>
      </c>
      <c r="AC76" s="89">
        <v>39.194628260000002</v>
      </c>
      <c r="AD76" s="89">
        <v>39.194628260000002</v>
      </c>
      <c r="AE76" s="89">
        <v>39.194628260000002</v>
      </c>
      <c r="AF76" s="89">
        <v>39.194628260000002</v>
      </c>
      <c r="AG76" s="89">
        <v>39.194628260000002</v>
      </c>
      <c r="AH76" s="89">
        <v>39.194628260000002</v>
      </c>
      <c r="AI76" s="89">
        <v>39.194628260000002</v>
      </c>
    </row>
    <row r="77" spans="1:35">
      <c r="A77" t="s">
        <v>400</v>
      </c>
      <c r="B77" t="s">
        <v>581</v>
      </c>
      <c r="C77" t="s">
        <v>598</v>
      </c>
      <c r="D77" t="s">
        <v>577</v>
      </c>
      <c r="E77" s="89">
        <v>39.194628260000002</v>
      </c>
      <c r="F77" s="89">
        <v>39.194628260000002</v>
      </c>
      <c r="G77" s="89">
        <v>39.194628260000002</v>
      </c>
      <c r="H77" s="89">
        <v>39.194628260000002</v>
      </c>
      <c r="I77" s="89">
        <v>39.194628260000002</v>
      </c>
      <c r="J77" s="89">
        <v>39.194628260000002</v>
      </c>
      <c r="K77" s="89">
        <v>39.194628260000002</v>
      </c>
      <c r="L77" s="89">
        <v>39.194628260000002</v>
      </c>
      <c r="M77" s="89">
        <v>39.194628260000002</v>
      </c>
      <c r="N77" s="89">
        <v>39.194628260000002</v>
      </c>
      <c r="O77" s="89">
        <v>39.194628260000002</v>
      </c>
      <c r="P77" s="89">
        <v>39.194628260000002</v>
      </c>
      <c r="Q77" s="89">
        <v>39.194628260000002</v>
      </c>
      <c r="R77" s="89">
        <v>39.194628260000002</v>
      </c>
      <c r="S77" s="89">
        <v>39.194628260000002</v>
      </c>
      <c r="T77" s="89">
        <v>39.194628260000002</v>
      </c>
      <c r="U77" s="89">
        <v>39.194628260000002</v>
      </c>
      <c r="V77" s="89">
        <v>39.194628260000002</v>
      </c>
      <c r="W77" s="89">
        <v>39.194628260000002</v>
      </c>
      <c r="X77" s="89">
        <v>39.194628260000002</v>
      </c>
      <c r="Y77" s="89">
        <v>39.194628260000002</v>
      </c>
      <c r="Z77" s="89">
        <v>39.194628260000002</v>
      </c>
      <c r="AA77" s="89">
        <v>39.194628260000002</v>
      </c>
      <c r="AB77" s="89">
        <v>39.194628260000002</v>
      </c>
      <c r="AC77" s="89">
        <v>39.194628260000002</v>
      </c>
      <c r="AD77" s="89">
        <v>39.194628260000002</v>
      </c>
      <c r="AE77" s="89">
        <v>39.194628260000002</v>
      </c>
      <c r="AF77" s="89">
        <v>39.194628260000002</v>
      </c>
      <c r="AG77" s="89">
        <v>39.194628260000002</v>
      </c>
      <c r="AH77" s="89">
        <v>39.194628260000002</v>
      </c>
      <c r="AI77" s="89">
        <v>39.194628260000002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AL29"/>
  <sheetViews>
    <sheetView workbookViewId="0">
      <selection activeCell="C41" sqref="C41"/>
    </sheetView>
  </sheetViews>
  <sheetFormatPr defaultColWidth="9.140625" defaultRowHeight="15"/>
  <cols>
    <col min="3" max="3" width="62.85546875" bestFit="1" customWidth="1"/>
    <col min="4" max="4" width="13.28515625" bestFit="1" customWidth="1"/>
  </cols>
  <sheetData>
    <row r="1" spans="1:38" ht="15.75" thickBot="1">
      <c r="A1" s="35" t="s">
        <v>373</v>
      </c>
      <c r="B1" s="35" t="s">
        <v>572</v>
      </c>
      <c r="C1" s="35" t="s">
        <v>599</v>
      </c>
      <c r="D1" s="35" t="s">
        <v>55</v>
      </c>
      <c r="E1" s="35" t="s">
        <v>375</v>
      </c>
      <c r="F1" s="35">
        <v>2018</v>
      </c>
      <c r="G1" s="35">
        <v>2019</v>
      </c>
      <c r="H1" s="35">
        <v>2020</v>
      </c>
      <c r="I1" s="35">
        <v>2021</v>
      </c>
      <c r="J1" s="35">
        <v>2022</v>
      </c>
      <c r="K1" s="35">
        <v>2023</v>
      </c>
      <c r="L1" s="35">
        <v>2024</v>
      </c>
      <c r="M1" s="35">
        <v>2025</v>
      </c>
      <c r="N1" s="35">
        <v>2026</v>
      </c>
      <c r="O1" s="35">
        <v>2027</v>
      </c>
      <c r="P1" s="35">
        <v>2028</v>
      </c>
      <c r="Q1" s="35">
        <v>2029</v>
      </c>
      <c r="R1" s="35">
        <v>2030</v>
      </c>
      <c r="S1" s="35">
        <v>2031</v>
      </c>
      <c r="T1" s="35">
        <v>2032</v>
      </c>
      <c r="U1" s="35">
        <v>2033</v>
      </c>
      <c r="V1" s="35">
        <v>2034</v>
      </c>
      <c r="W1" s="35">
        <v>2035</v>
      </c>
      <c r="X1" s="35">
        <v>2036</v>
      </c>
      <c r="Y1" s="35">
        <v>2037</v>
      </c>
      <c r="Z1" s="35">
        <v>2038</v>
      </c>
      <c r="AA1" s="35">
        <v>2039</v>
      </c>
      <c r="AB1" s="35">
        <v>2040</v>
      </c>
      <c r="AC1" s="35">
        <v>2041</v>
      </c>
      <c r="AD1" s="35">
        <v>2042</v>
      </c>
      <c r="AE1" s="35">
        <v>2043</v>
      </c>
      <c r="AF1" s="35">
        <v>2044</v>
      </c>
      <c r="AG1" s="35">
        <v>2045</v>
      </c>
      <c r="AH1" s="35">
        <v>2046</v>
      </c>
      <c r="AI1" s="35">
        <v>2047</v>
      </c>
      <c r="AJ1" s="35">
        <v>2048</v>
      </c>
      <c r="AK1" s="35">
        <v>2049</v>
      </c>
      <c r="AL1" s="35">
        <v>2050</v>
      </c>
    </row>
    <row r="2" spans="1:38">
      <c r="A2" s="5" t="s">
        <v>574</v>
      </c>
      <c r="B2" s="5" t="s">
        <v>600</v>
      </c>
      <c r="C2" t="s">
        <v>583</v>
      </c>
      <c r="D2" t="s">
        <v>69</v>
      </c>
      <c r="E2" t="s">
        <v>601</v>
      </c>
      <c r="F2">
        <v>0.98</v>
      </c>
      <c r="G2">
        <v>0.98</v>
      </c>
      <c r="H2">
        <v>0.98</v>
      </c>
      <c r="I2">
        <v>0.98</v>
      </c>
      <c r="J2">
        <v>0.98</v>
      </c>
      <c r="K2">
        <v>0.98</v>
      </c>
      <c r="L2">
        <v>0.98</v>
      </c>
      <c r="M2">
        <v>0.98</v>
      </c>
      <c r="N2">
        <v>0.98</v>
      </c>
      <c r="O2">
        <v>0.98</v>
      </c>
      <c r="P2">
        <v>0.98</v>
      </c>
      <c r="Q2">
        <v>0.98</v>
      </c>
      <c r="R2">
        <v>0.98</v>
      </c>
      <c r="S2">
        <v>0.98</v>
      </c>
      <c r="T2">
        <v>0.98</v>
      </c>
      <c r="U2">
        <v>0.98</v>
      </c>
      <c r="V2">
        <v>0.98</v>
      </c>
      <c r="W2">
        <v>0.98</v>
      </c>
      <c r="X2">
        <v>0.98</v>
      </c>
      <c r="Y2">
        <v>0.98</v>
      </c>
      <c r="Z2">
        <v>0.98</v>
      </c>
      <c r="AA2">
        <v>0.98</v>
      </c>
      <c r="AB2">
        <v>0.98</v>
      </c>
      <c r="AC2">
        <v>0.98</v>
      </c>
      <c r="AD2">
        <v>0.98</v>
      </c>
      <c r="AE2">
        <v>0.98</v>
      </c>
      <c r="AF2">
        <v>0.98</v>
      </c>
      <c r="AG2">
        <v>0.98</v>
      </c>
      <c r="AH2">
        <v>0.98</v>
      </c>
      <c r="AI2">
        <v>0.98</v>
      </c>
      <c r="AJ2">
        <v>0.98</v>
      </c>
      <c r="AK2">
        <v>0.98</v>
      </c>
      <c r="AL2">
        <v>0.98</v>
      </c>
    </row>
    <row r="3" spans="1:38">
      <c r="A3" t="s">
        <v>574</v>
      </c>
      <c r="B3" t="s">
        <v>600</v>
      </c>
      <c r="C3" t="s">
        <v>584</v>
      </c>
      <c r="D3" t="s">
        <v>69</v>
      </c>
      <c r="E3" t="s">
        <v>601</v>
      </c>
      <c r="F3">
        <v>0.98</v>
      </c>
      <c r="G3">
        <v>0.98</v>
      </c>
      <c r="H3">
        <v>0.98</v>
      </c>
      <c r="I3">
        <v>0.98</v>
      </c>
      <c r="J3">
        <v>0.98</v>
      </c>
      <c r="K3">
        <v>0.98</v>
      </c>
      <c r="L3">
        <v>0.98</v>
      </c>
      <c r="M3">
        <v>0.98</v>
      </c>
      <c r="N3">
        <v>0.98</v>
      </c>
      <c r="O3">
        <v>0.98</v>
      </c>
      <c r="P3">
        <v>0.98</v>
      </c>
      <c r="Q3">
        <v>0.98</v>
      </c>
      <c r="R3">
        <v>0.98</v>
      </c>
      <c r="S3">
        <v>0.98</v>
      </c>
      <c r="T3">
        <v>0.98</v>
      </c>
      <c r="U3">
        <v>0.98</v>
      </c>
      <c r="V3">
        <v>0.98</v>
      </c>
      <c r="W3">
        <v>0.98</v>
      </c>
      <c r="X3">
        <v>0.98</v>
      </c>
      <c r="Y3">
        <v>0.98</v>
      </c>
      <c r="Z3">
        <v>0.98</v>
      </c>
      <c r="AA3">
        <v>0.98</v>
      </c>
      <c r="AB3">
        <v>0.98</v>
      </c>
      <c r="AC3">
        <v>0.98</v>
      </c>
      <c r="AD3">
        <v>0.98</v>
      </c>
      <c r="AE3">
        <v>0.98</v>
      </c>
      <c r="AF3">
        <v>0.98</v>
      </c>
      <c r="AG3">
        <v>0.98</v>
      </c>
      <c r="AH3">
        <v>0.98</v>
      </c>
      <c r="AI3">
        <v>0.98</v>
      </c>
      <c r="AJ3">
        <v>0.98</v>
      </c>
      <c r="AK3">
        <v>0.98</v>
      </c>
      <c r="AL3">
        <v>0.98</v>
      </c>
    </row>
    <row r="4" spans="1:38">
      <c r="A4" t="s">
        <v>574</v>
      </c>
      <c r="B4" t="s">
        <v>600</v>
      </c>
      <c r="C4" t="s">
        <v>585</v>
      </c>
      <c r="D4" t="s">
        <v>63</v>
      </c>
      <c r="E4" t="s">
        <v>601</v>
      </c>
      <c r="F4">
        <v>0.66</v>
      </c>
      <c r="G4">
        <v>0.67</v>
      </c>
      <c r="H4">
        <v>0.67</v>
      </c>
      <c r="I4">
        <v>0.67</v>
      </c>
      <c r="J4">
        <v>0.67</v>
      </c>
      <c r="K4">
        <v>0.67</v>
      </c>
      <c r="L4">
        <v>0.68</v>
      </c>
      <c r="M4">
        <v>0.68</v>
      </c>
      <c r="N4">
        <v>0.68</v>
      </c>
      <c r="O4">
        <v>0.68</v>
      </c>
      <c r="P4">
        <v>0.68</v>
      </c>
      <c r="Q4">
        <v>0.69</v>
      </c>
      <c r="R4">
        <v>0.69</v>
      </c>
      <c r="S4">
        <v>0.69</v>
      </c>
      <c r="T4">
        <v>0.69</v>
      </c>
      <c r="U4">
        <v>0.69</v>
      </c>
      <c r="V4">
        <v>0.69</v>
      </c>
      <c r="W4">
        <v>0.69</v>
      </c>
      <c r="X4">
        <v>0.7</v>
      </c>
      <c r="Y4">
        <v>0.7</v>
      </c>
      <c r="Z4">
        <v>0.7</v>
      </c>
      <c r="AA4">
        <v>0.7</v>
      </c>
      <c r="AB4">
        <v>0.7</v>
      </c>
      <c r="AC4">
        <v>0.7</v>
      </c>
      <c r="AD4">
        <v>0.7</v>
      </c>
      <c r="AE4">
        <v>0.7</v>
      </c>
      <c r="AF4">
        <v>0.71</v>
      </c>
      <c r="AG4">
        <v>0.71</v>
      </c>
      <c r="AH4">
        <v>0.71</v>
      </c>
      <c r="AI4">
        <v>0.71</v>
      </c>
      <c r="AJ4">
        <v>0.71</v>
      </c>
      <c r="AK4">
        <v>0.71</v>
      </c>
      <c r="AL4">
        <v>0.71</v>
      </c>
    </row>
    <row r="5" spans="1:38">
      <c r="A5" t="s">
        <v>574</v>
      </c>
      <c r="B5" t="s">
        <v>600</v>
      </c>
      <c r="C5" t="s">
        <v>586</v>
      </c>
      <c r="D5" t="s">
        <v>78</v>
      </c>
      <c r="E5" t="s">
        <v>601</v>
      </c>
      <c r="F5">
        <v>0.89</v>
      </c>
      <c r="G5">
        <v>0.89</v>
      </c>
      <c r="H5">
        <v>0.9</v>
      </c>
      <c r="I5">
        <v>0.9</v>
      </c>
      <c r="J5">
        <v>0.9</v>
      </c>
      <c r="K5">
        <v>0.91</v>
      </c>
      <c r="L5">
        <v>0.91</v>
      </c>
      <c r="M5">
        <v>0.91</v>
      </c>
      <c r="N5">
        <v>0.91</v>
      </c>
      <c r="O5">
        <v>0.91</v>
      </c>
      <c r="P5">
        <v>0.92</v>
      </c>
      <c r="Q5">
        <v>0.92</v>
      </c>
      <c r="R5">
        <v>0.92</v>
      </c>
      <c r="S5">
        <v>0.92</v>
      </c>
      <c r="T5">
        <v>0.93</v>
      </c>
      <c r="U5">
        <v>0.93</v>
      </c>
      <c r="V5">
        <v>0.93</v>
      </c>
      <c r="W5">
        <v>0.93</v>
      </c>
      <c r="X5">
        <v>0.93</v>
      </c>
      <c r="Y5">
        <v>0.93</v>
      </c>
      <c r="Z5">
        <v>0.93</v>
      </c>
      <c r="AA5">
        <v>0.94</v>
      </c>
      <c r="AB5">
        <v>0.94</v>
      </c>
      <c r="AC5">
        <v>0.94</v>
      </c>
      <c r="AD5">
        <v>0.94</v>
      </c>
      <c r="AE5">
        <v>0.94</v>
      </c>
      <c r="AF5">
        <v>0.94</v>
      </c>
      <c r="AG5">
        <v>0.95</v>
      </c>
      <c r="AH5">
        <v>0.95</v>
      </c>
      <c r="AI5">
        <v>0.95</v>
      </c>
      <c r="AJ5">
        <v>0.95</v>
      </c>
      <c r="AK5">
        <v>0.95</v>
      </c>
      <c r="AL5">
        <v>0.95</v>
      </c>
    </row>
    <row r="6" spans="1:38">
      <c r="A6" t="s">
        <v>574</v>
      </c>
      <c r="B6" t="s">
        <v>600</v>
      </c>
      <c r="C6" t="s">
        <v>588</v>
      </c>
      <c r="D6" t="s">
        <v>602</v>
      </c>
      <c r="E6" t="s">
        <v>601</v>
      </c>
      <c r="F6">
        <v>0.85</v>
      </c>
      <c r="G6">
        <v>0.85</v>
      </c>
      <c r="H6">
        <v>0.86</v>
      </c>
      <c r="I6">
        <v>0.86</v>
      </c>
      <c r="J6">
        <v>0.86</v>
      </c>
      <c r="K6">
        <v>0.87</v>
      </c>
      <c r="L6">
        <v>0.87</v>
      </c>
      <c r="M6">
        <v>0.87</v>
      </c>
      <c r="N6">
        <v>0.87</v>
      </c>
      <c r="O6">
        <v>0.88</v>
      </c>
      <c r="P6">
        <v>0.88</v>
      </c>
      <c r="Q6">
        <v>0.88</v>
      </c>
      <c r="R6">
        <v>0.89</v>
      </c>
      <c r="S6">
        <v>0.89</v>
      </c>
      <c r="T6">
        <v>0.89</v>
      </c>
      <c r="U6">
        <v>0.89</v>
      </c>
      <c r="V6">
        <v>0.9</v>
      </c>
      <c r="W6">
        <v>0.9</v>
      </c>
      <c r="X6">
        <v>0.9</v>
      </c>
      <c r="Y6">
        <v>0.9</v>
      </c>
      <c r="Z6">
        <v>0.9</v>
      </c>
      <c r="AA6">
        <v>0.91</v>
      </c>
      <c r="AB6">
        <v>0.91</v>
      </c>
      <c r="AC6">
        <v>0.91</v>
      </c>
      <c r="AD6">
        <v>0.91</v>
      </c>
      <c r="AE6">
        <v>0.91</v>
      </c>
      <c r="AF6">
        <v>0.92</v>
      </c>
      <c r="AG6">
        <v>0.92</v>
      </c>
      <c r="AH6">
        <v>0.92</v>
      </c>
      <c r="AI6">
        <v>0.92</v>
      </c>
      <c r="AJ6">
        <v>0.92</v>
      </c>
      <c r="AK6">
        <v>0.93</v>
      </c>
      <c r="AL6">
        <v>0.93</v>
      </c>
    </row>
    <row r="7" spans="1:38">
      <c r="A7" t="s">
        <v>574</v>
      </c>
      <c r="B7" t="s">
        <v>600</v>
      </c>
      <c r="C7" t="s">
        <v>603</v>
      </c>
      <c r="D7" t="s">
        <v>602</v>
      </c>
      <c r="E7" t="s">
        <v>601</v>
      </c>
      <c r="F7">
        <v>0.97</v>
      </c>
      <c r="G7">
        <v>0.98</v>
      </c>
      <c r="H7">
        <v>0.98</v>
      </c>
      <c r="I7">
        <v>0.99</v>
      </c>
      <c r="J7">
        <v>0.99</v>
      </c>
      <c r="K7">
        <v>1</v>
      </c>
      <c r="L7">
        <v>1</v>
      </c>
      <c r="M7">
        <v>1</v>
      </c>
      <c r="N7">
        <v>1.01</v>
      </c>
      <c r="O7">
        <v>1.01</v>
      </c>
      <c r="P7">
        <v>1.01</v>
      </c>
      <c r="Q7">
        <v>1.02</v>
      </c>
      <c r="R7">
        <v>1.02</v>
      </c>
      <c r="S7">
        <v>1.02</v>
      </c>
      <c r="T7">
        <v>1.03</v>
      </c>
      <c r="U7">
        <v>1.03</v>
      </c>
      <c r="V7">
        <v>1.03</v>
      </c>
      <c r="W7">
        <v>1.03</v>
      </c>
      <c r="X7">
        <v>1.03</v>
      </c>
      <c r="Y7">
        <v>1.04</v>
      </c>
      <c r="Z7">
        <v>1.04</v>
      </c>
      <c r="AA7">
        <v>1.04</v>
      </c>
      <c r="AB7">
        <v>1.04</v>
      </c>
      <c r="AC7">
        <v>1.05</v>
      </c>
      <c r="AD7">
        <v>1.05</v>
      </c>
      <c r="AE7">
        <v>1.05</v>
      </c>
      <c r="AF7">
        <v>1.05</v>
      </c>
      <c r="AG7">
        <v>1.06</v>
      </c>
      <c r="AH7">
        <v>1.06</v>
      </c>
      <c r="AI7">
        <v>1.06</v>
      </c>
      <c r="AJ7">
        <v>1.06</v>
      </c>
      <c r="AK7">
        <v>1.07</v>
      </c>
      <c r="AL7">
        <v>1.07</v>
      </c>
    </row>
    <row r="8" spans="1:38">
      <c r="A8" t="s">
        <v>574</v>
      </c>
      <c r="B8" t="s">
        <v>600</v>
      </c>
      <c r="C8" t="s">
        <v>603</v>
      </c>
      <c r="D8" t="s">
        <v>604</v>
      </c>
      <c r="E8" t="s">
        <v>601</v>
      </c>
      <c r="F8">
        <v>6.67</v>
      </c>
      <c r="G8">
        <v>6.67</v>
      </c>
      <c r="H8">
        <v>6.67</v>
      </c>
      <c r="I8">
        <v>6.67</v>
      </c>
      <c r="J8">
        <v>6.67</v>
      </c>
      <c r="K8">
        <v>6.67</v>
      </c>
      <c r="L8">
        <v>6.67</v>
      </c>
      <c r="M8">
        <v>6.67</v>
      </c>
      <c r="N8">
        <v>6.67</v>
      </c>
      <c r="O8">
        <v>6.67</v>
      </c>
      <c r="P8">
        <v>6.67</v>
      </c>
      <c r="Q8">
        <v>6.67</v>
      </c>
      <c r="R8">
        <v>6.67</v>
      </c>
      <c r="S8">
        <v>6.67</v>
      </c>
      <c r="T8">
        <v>6.67</v>
      </c>
      <c r="U8">
        <v>6.67</v>
      </c>
      <c r="V8">
        <v>6.67</v>
      </c>
      <c r="W8">
        <v>6.67</v>
      </c>
      <c r="X8">
        <v>6.67</v>
      </c>
      <c r="Y8">
        <v>6.67</v>
      </c>
      <c r="Z8">
        <v>6.67</v>
      </c>
      <c r="AA8">
        <v>6.67</v>
      </c>
      <c r="AB8">
        <v>6.67</v>
      </c>
      <c r="AC8">
        <v>6.67</v>
      </c>
      <c r="AD8">
        <v>6.67</v>
      </c>
      <c r="AE8">
        <v>6.67</v>
      </c>
      <c r="AF8">
        <v>6.67</v>
      </c>
      <c r="AG8">
        <v>6.67</v>
      </c>
      <c r="AH8">
        <v>6.67</v>
      </c>
      <c r="AI8">
        <v>6.67</v>
      </c>
      <c r="AJ8">
        <v>6.67</v>
      </c>
      <c r="AK8">
        <v>6.67</v>
      </c>
      <c r="AL8">
        <v>6.67</v>
      </c>
    </row>
    <row r="9" spans="1:38">
      <c r="A9" t="s">
        <v>574</v>
      </c>
      <c r="B9" t="s">
        <v>600</v>
      </c>
      <c r="C9" t="s">
        <v>605</v>
      </c>
      <c r="D9" t="s">
        <v>78</v>
      </c>
      <c r="E9" t="s">
        <v>601</v>
      </c>
      <c r="F9">
        <v>1.02</v>
      </c>
      <c r="G9">
        <v>1.03</v>
      </c>
      <c r="H9">
        <v>1.03</v>
      </c>
      <c r="I9">
        <v>1.04</v>
      </c>
      <c r="J9">
        <v>1.04</v>
      </c>
      <c r="K9">
        <v>1.04</v>
      </c>
      <c r="L9">
        <v>1.04</v>
      </c>
      <c r="M9">
        <v>1.05</v>
      </c>
      <c r="N9">
        <v>1.05</v>
      </c>
      <c r="O9">
        <v>1.05</v>
      </c>
      <c r="P9">
        <v>1.05</v>
      </c>
      <c r="Q9">
        <v>1.06</v>
      </c>
      <c r="R9">
        <v>1.06</v>
      </c>
      <c r="S9">
        <v>1.06</v>
      </c>
      <c r="T9">
        <v>1.06</v>
      </c>
      <c r="U9">
        <v>1.07</v>
      </c>
      <c r="V9">
        <v>1.07</v>
      </c>
      <c r="W9">
        <v>1.07</v>
      </c>
      <c r="X9">
        <v>1.07</v>
      </c>
      <c r="Y9">
        <v>1.07</v>
      </c>
      <c r="Z9">
        <v>1.08</v>
      </c>
      <c r="AA9">
        <v>1.08</v>
      </c>
      <c r="AB9">
        <v>1.08</v>
      </c>
      <c r="AC9">
        <v>1.08</v>
      </c>
      <c r="AD9">
        <v>1.08</v>
      </c>
      <c r="AE9">
        <v>1.08</v>
      </c>
      <c r="AF9">
        <v>1.0900000000000001</v>
      </c>
      <c r="AG9">
        <v>1.0900000000000001</v>
      </c>
      <c r="AH9">
        <v>1.0900000000000001</v>
      </c>
      <c r="AI9">
        <v>1.0900000000000001</v>
      </c>
      <c r="AJ9">
        <v>1.0900000000000001</v>
      </c>
      <c r="AK9">
        <v>1.1000000000000001</v>
      </c>
      <c r="AL9">
        <v>1.1000000000000001</v>
      </c>
    </row>
    <row r="10" spans="1:38">
      <c r="A10" t="s">
        <v>574</v>
      </c>
      <c r="B10" t="s">
        <v>600</v>
      </c>
      <c r="C10" t="s">
        <v>605</v>
      </c>
      <c r="D10" t="s">
        <v>604</v>
      </c>
      <c r="E10" t="s">
        <v>601</v>
      </c>
      <c r="F10">
        <v>6.67</v>
      </c>
      <c r="G10">
        <v>6.67</v>
      </c>
      <c r="H10">
        <v>6.67</v>
      </c>
      <c r="I10">
        <v>6.67</v>
      </c>
      <c r="J10">
        <v>6.67</v>
      </c>
      <c r="K10">
        <v>6.67</v>
      </c>
      <c r="L10">
        <v>6.67</v>
      </c>
      <c r="M10">
        <v>6.67</v>
      </c>
      <c r="N10">
        <v>6.67</v>
      </c>
      <c r="O10">
        <v>6.67</v>
      </c>
      <c r="P10">
        <v>6.67</v>
      </c>
      <c r="Q10">
        <v>6.67</v>
      </c>
      <c r="R10">
        <v>6.67</v>
      </c>
      <c r="S10">
        <v>6.67</v>
      </c>
      <c r="T10">
        <v>6.67</v>
      </c>
      <c r="U10">
        <v>6.67</v>
      </c>
      <c r="V10">
        <v>6.67</v>
      </c>
      <c r="W10">
        <v>6.67</v>
      </c>
      <c r="X10">
        <v>6.67</v>
      </c>
      <c r="Y10">
        <v>6.67</v>
      </c>
      <c r="Z10">
        <v>6.67</v>
      </c>
      <c r="AA10">
        <v>6.67</v>
      </c>
      <c r="AB10">
        <v>6.67</v>
      </c>
      <c r="AC10">
        <v>6.67</v>
      </c>
      <c r="AD10">
        <v>6.67</v>
      </c>
      <c r="AE10">
        <v>6.67</v>
      </c>
      <c r="AF10">
        <v>6.67</v>
      </c>
      <c r="AG10">
        <v>6.67</v>
      </c>
      <c r="AH10">
        <v>6.67</v>
      </c>
      <c r="AI10">
        <v>6.67</v>
      </c>
      <c r="AJ10">
        <v>6.67</v>
      </c>
      <c r="AK10">
        <v>6.67</v>
      </c>
      <c r="AL10">
        <v>6.67</v>
      </c>
    </row>
    <row r="11" spans="1:38">
      <c r="A11" t="s">
        <v>574</v>
      </c>
      <c r="B11" t="s">
        <v>600</v>
      </c>
      <c r="C11" t="s">
        <v>590</v>
      </c>
      <c r="D11" t="s">
        <v>60</v>
      </c>
      <c r="E11" t="s">
        <v>601</v>
      </c>
      <c r="F11">
        <v>0.82</v>
      </c>
      <c r="G11">
        <v>0.82</v>
      </c>
      <c r="H11">
        <v>0.83</v>
      </c>
      <c r="I11">
        <v>0.83</v>
      </c>
      <c r="J11">
        <v>0.83</v>
      </c>
      <c r="K11">
        <v>0.84</v>
      </c>
      <c r="L11">
        <v>0.84</v>
      </c>
      <c r="M11">
        <v>0.84</v>
      </c>
      <c r="N11">
        <v>0.85</v>
      </c>
      <c r="O11">
        <v>0.85</v>
      </c>
      <c r="P11">
        <v>0.85</v>
      </c>
      <c r="Q11">
        <v>0.86</v>
      </c>
      <c r="R11">
        <v>0.86</v>
      </c>
      <c r="S11">
        <v>0.86</v>
      </c>
      <c r="T11">
        <v>0.87</v>
      </c>
      <c r="U11">
        <v>0.87</v>
      </c>
      <c r="V11">
        <v>0.87</v>
      </c>
      <c r="W11">
        <v>0.87</v>
      </c>
      <c r="X11">
        <v>0.87</v>
      </c>
      <c r="Y11">
        <v>0.88</v>
      </c>
      <c r="Z11">
        <v>0.88</v>
      </c>
      <c r="AA11">
        <v>0.88</v>
      </c>
      <c r="AB11">
        <v>0.88</v>
      </c>
      <c r="AC11">
        <v>0.89</v>
      </c>
      <c r="AD11">
        <v>0.89</v>
      </c>
      <c r="AE11">
        <v>0.89</v>
      </c>
      <c r="AF11">
        <v>0.89</v>
      </c>
      <c r="AG11">
        <v>0.9</v>
      </c>
      <c r="AH11">
        <v>0.9</v>
      </c>
      <c r="AI11">
        <v>0.9</v>
      </c>
      <c r="AJ11">
        <v>0.9</v>
      </c>
      <c r="AK11">
        <v>0.9</v>
      </c>
      <c r="AL11">
        <v>0.91</v>
      </c>
    </row>
    <row r="12" spans="1:38">
      <c r="A12" t="s">
        <v>574</v>
      </c>
      <c r="B12" t="s">
        <v>600</v>
      </c>
      <c r="C12" t="s">
        <v>66</v>
      </c>
      <c r="D12" t="s">
        <v>66</v>
      </c>
      <c r="E12" t="s">
        <v>601</v>
      </c>
      <c r="F12">
        <v>0.97</v>
      </c>
      <c r="G12">
        <v>0.97</v>
      </c>
      <c r="H12">
        <v>0.97</v>
      </c>
      <c r="I12">
        <v>0.97</v>
      </c>
      <c r="J12">
        <v>0.97</v>
      </c>
      <c r="K12">
        <v>0.97</v>
      </c>
      <c r="L12">
        <v>0.97</v>
      </c>
      <c r="M12">
        <v>0.97</v>
      </c>
      <c r="N12">
        <v>0.97</v>
      </c>
      <c r="O12">
        <v>0.97</v>
      </c>
      <c r="P12">
        <v>0.97</v>
      </c>
      <c r="Q12">
        <v>0.97</v>
      </c>
      <c r="R12">
        <v>0.97</v>
      </c>
      <c r="S12">
        <v>0.97</v>
      </c>
      <c r="T12">
        <v>0.97</v>
      </c>
      <c r="U12">
        <v>0.97</v>
      </c>
      <c r="V12">
        <v>0.97</v>
      </c>
      <c r="W12">
        <v>0.97</v>
      </c>
      <c r="X12">
        <v>0.97</v>
      </c>
      <c r="Y12">
        <v>0.97</v>
      </c>
      <c r="Z12">
        <v>0.97</v>
      </c>
      <c r="AA12">
        <v>0.97</v>
      </c>
      <c r="AB12">
        <v>0.97</v>
      </c>
      <c r="AC12">
        <v>0.97</v>
      </c>
      <c r="AD12">
        <v>0.97</v>
      </c>
      <c r="AE12">
        <v>0.98</v>
      </c>
      <c r="AF12">
        <v>0.98</v>
      </c>
      <c r="AG12">
        <v>0.98</v>
      </c>
      <c r="AH12">
        <v>0.98</v>
      </c>
      <c r="AI12">
        <v>0.98</v>
      </c>
      <c r="AJ12">
        <v>0.98</v>
      </c>
      <c r="AK12">
        <v>0.98</v>
      </c>
      <c r="AL12">
        <v>0.98</v>
      </c>
    </row>
    <row r="13" spans="1:38">
      <c r="A13" t="s">
        <v>574</v>
      </c>
      <c r="B13" t="s">
        <v>600</v>
      </c>
      <c r="C13" t="s">
        <v>591</v>
      </c>
      <c r="D13" t="s">
        <v>69</v>
      </c>
      <c r="E13" t="s">
        <v>601</v>
      </c>
      <c r="F13">
        <v>2.81</v>
      </c>
      <c r="G13">
        <v>2.85</v>
      </c>
      <c r="H13">
        <v>2.88</v>
      </c>
      <c r="I13">
        <v>2.91</v>
      </c>
      <c r="J13">
        <v>2.93</v>
      </c>
      <c r="K13">
        <v>2.95</v>
      </c>
      <c r="L13">
        <v>2.98</v>
      </c>
      <c r="M13">
        <v>3</v>
      </c>
      <c r="N13">
        <v>3.02</v>
      </c>
      <c r="O13">
        <v>3.05</v>
      </c>
      <c r="P13">
        <v>3.07</v>
      </c>
      <c r="Q13">
        <v>3.09</v>
      </c>
      <c r="R13">
        <v>3.12</v>
      </c>
      <c r="S13">
        <v>3.13</v>
      </c>
      <c r="T13">
        <v>3.15</v>
      </c>
      <c r="U13">
        <v>3.16</v>
      </c>
      <c r="V13">
        <v>3.18</v>
      </c>
      <c r="W13">
        <v>3.2</v>
      </c>
      <c r="X13">
        <v>3.21</v>
      </c>
      <c r="Y13">
        <v>3.23</v>
      </c>
      <c r="Z13">
        <v>3.24</v>
      </c>
      <c r="AA13">
        <v>3.26</v>
      </c>
      <c r="AB13">
        <v>3.28</v>
      </c>
      <c r="AC13">
        <v>3.29</v>
      </c>
      <c r="AD13">
        <v>3.31</v>
      </c>
      <c r="AE13">
        <v>3.32</v>
      </c>
      <c r="AF13">
        <v>3.34</v>
      </c>
      <c r="AG13">
        <v>3.36</v>
      </c>
      <c r="AH13">
        <v>3.37</v>
      </c>
      <c r="AI13">
        <v>3.39</v>
      </c>
      <c r="AJ13">
        <v>3.4</v>
      </c>
      <c r="AK13">
        <v>3.42</v>
      </c>
      <c r="AL13">
        <v>3.44</v>
      </c>
    </row>
    <row r="14" spans="1:38">
      <c r="A14" t="s">
        <v>574</v>
      </c>
      <c r="B14" t="s">
        <v>600</v>
      </c>
      <c r="C14" t="s">
        <v>591</v>
      </c>
      <c r="D14" t="s">
        <v>57</v>
      </c>
      <c r="E14" t="s">
        <v>601</v>
      </c>
      <c r="F14">
        <v>1.55</v>
      </c>
      <c r="G14">
        <v>1.54</v>
      </c>
      <c r="H14">
        <v>1.53</v>
      </c>
      <c r="I14">
        <v>1.52</v>
      </c>
      <c r="J14">
        <v>1.52</v>
      </c>
      <c r="K14">
        <v>1.51</v>
      </c>
      <c r="L14">
        <v>1.51</v>
      </c>
      <c r="M14">
        <v>1.5</v>
      </c>
      <c r="N14">
        <v>1.49</v>
      </c>
      <c r="O14">
        <v>1.49</v>
      </c>
      <c r="P14">
        <v>1.48</v>
      </c>
      <c r="Q14">
        <v>1.48</v>
      </c>
      <c r="R14">
        <v>1.47</v>
      </c>
      <c r="S14">
        <v>1.47</v>
      </c>
      <c r="T14">
        <v>1.47</v>
      </c>
      <c r="U14">
        <v>1.46</v>
      </c>
      <c r="V14">
        <v>1.46</v>
      </c>
      <c r="W14">
        <v>1.46</v>
      </c>
      <c r="X14">
        <v>1.45</v>
      </c>
      <c r="Y14">
        <v>1.45</v>
      </c>
      <c r="Z14">
        <v>1.45</v>
      </c>
      <c r="AA14">
        <v>1.44</v>
      </c>
      <c r="AB14">
        <v>1.44</v>
      </c>
      <c r="AC14">
        <v>1.44</v>
      </c>
      <c r="AD14">
        <v>1.43</v>
      </c>
      <c r="AE14">
        <v>1.43</v>
      </c>
      <c r="AF14">
        <v>1.43</v>
      </c>
      <c r="AG14">
        <v>1.42</v>
      </c>
      <c r="AH14">
        <v>1.42</v>
      </c>
      <c r="AI14">
        <v>1.42</v>
      </c>
      <c r="AJ14">
        <v>1.42</v>
      </c>
      <c r="AK14">
        <v>1.41</v>
      </c>
      <c r="AL14">
        <v>1.41</v>
      </c>
    </row>
    <row r="15" spans="1:38">
      <c r="A15" t="s">
        <v>574</v>
      </c>
      <c r="B15" t="s">
        <v>600</v>
      </c>
      <c r="C15" t="s">
        <v>606</v>
      </c>
      <c r="D15" t="s">
        <v>69</v>
      </c>
      <c r="E15" t="s">
        <v>601</v>
      </c>
      <c r="F15">
        <v>3.5</v>
      </c>
      <c r="G15">
        <v>3.53</v>
      </c>
      <c r="H15">
        <v>3.55</v>
      </c>
      <c r="I15">
        <v>3.57</v>
      </c>
      <c r="J15">
        <v>3.58</v>
      </c>
      <c r="K15">
        <v>3.6</v>
      </c>
      <c r="L15">
        <v>3.61</v>
      </c>
      <c r="M15">
        <v>3.63</v>
      </c>
      <c r="N15">
        <v>3.64</v>
      </c>
      <c r="O15">
        <v>3.66</v>
      </c>
      <c r="P15">
        <v>3.67</v>
      </c>
      <c r="Q15">
        <v>3.69</v>
      </c>
      <c r="R15">
        <v>3.7</v>
      </c>
      <c r="S15">
        <v>3.71</v>
      </c>
      <c r="T15">
        <v>3.72</v>
      </c>
      <c r="U15">
        <v>3.73</v>
      </c>
      <c r="V15">
        <v>3.74</v>
      </c>
      <c r="W15">
        <v>3.75</v>
      </c>
      <c r="X15">
        <v>3.76</v>
      </c>
      <c r="Y15">
        <v>3.77</v>
      </c>
      <c r="Z15">
        <v>3.78</v>
      </c>
      <c r="AA15">
        <v>3.79</v>
      </c>
      <c r="AB15">
        <v>3.8</v>
      </c>
      <c r="AC15">
        <v>3.81</v>
      </c>
      <c r="AD15">
        <v>3.82</v>
      </c>
      <c r="AE15">
        <v>3.83</v>
      </c>
      <c r="AF15">
        <v>3.84</v>
      </c>
      <c r="AG15">
        <v>3.85</v>
      </c>
      <c r="AH15">
        <v>3.86</v>
      </c>
      <c r="AI15">
        <v>3.87</v>
      </c>
      <c r="AJ15">
        <v>3.88</v>
      </c>
      <c r="AK15">
        <v>3.89</v>
      </c>
      <c r="AL15">
        <v>3.9</v>
      </c>
    </row>
    <row r="16" spans="1:38">
      <c r="A16" t="s">
        <v>574</v>
      </c>
      <c r="B16" t="s">
        <v>600</v>
      </c>
      <c r="C16" t="s">
        <v>606</v>
      </c>
      <c r="D16" t="s">
        <v>57</v>
      </c>
      <c r="E16" t="s">
        <v>601</v>
      </c>
      <c r="F16">
        <v>1.4</v>
      </c>
      <c r="G16">
        <v>1.4</v>
      </c>
      <c r="H16">
        <v>1.39</v>
      </c>
      <c r="I16">
        <v>1.39</v>
      </c>
      <c r="J16">
        <v>1.39</v>
      </c>
      <c r="K16">
        <v>1.39</v>
      </c>
      <c r="L16">
        <v>1.38</v>
      </c>
      <c r="M16">
        <v>1.38</v>
      </c>
      <c r="N16">
        <v>1.38</v>
      </c>
      <c r="O16">
        <v>1.38</v>
      </c>
      <c r="P16">
        <v>1.37</v>
      </c>
      <c r="Q16">
        <v>1.37</v>
      </c>
      <c r="R16">
        <v>1.37</v>
      </c>
      <c r="S16">
        <v>1.37</v>
      </c>
      <c r="T16">
        <v>1.37</v>
      </c>
      <c r="U16">
        <v>1.37</v>
      </c>
      <c r="V16">
        <v>1.36</v>
      </c>
      <c r="W16">
        <v>1.36</v>
      </c>
      <c r="X16">
        <v>1.36</v>
      </c>
      <c r="Y16">
        <v>1.36</v>
      </c>
      <c r="Z16">
        <v>1.36</v>
      </c>
      <c r="AA16">
        <v>1.36</v>
      </c>
      <c r="AB16">
        <v>1.36</v>
      </c>
      <c r="AC16">
        <v>1.36</v>
      </c>
      <c r="AD16">
        <v>1.35</v>
      </c>
      <c r="AE16">
        <v>1.35</v>
      </c>
      <c r="AF16">
        <v>1.35</v>
      </c>
      <c r="AG16">
        <v>1.35</v>
      </c>
      <c r="AH16">
        <v>1.35</v>
      </c>
      <c r="AI16">
        <v>1.35</v>
      </c>
      <c r="AJ16">
        <v>1.35</v>
      </c>
      <c r="AK16">
        <v>1.35</v>
      </c>
      <c r="AL16">
        <v>1.34</v>
      </c>
    </row>
    <row r="17" spans="1:38">
      <c r="A17" t="s">
        <v>574</v>
      </c>
      <c r="B17" t="s">
        <v>600</v>
      </c>
      <c r="C17" t="s">
        <v>593</v>
      </c>
      <c r="D17" t="s">
        <v>69</v>
      </c>
      <c r="E17" t="s">
        <v>601</v>
      </c>
      <c r="F17">
        <v>3.5</v>
      </c>
      <c r="G17">
        <v>3.53</v>
      </c>
      <c r="H17">
        <v>3.55</v>
      </c>
      <c r="I17">
        <v>3.57</v>
      </c>
      <c r="J17">
        <v>3.58</v>
      </c>
      <c r="K17">
        <v>3.6</v>
      </c>
      <c r="L17">
        <v>3.61</v>
      </c>
      <c r="M17">
        <v>3.63</v>
      </c>
      <c r="N17">
        <v>3.64</v>
      </c>
      <c r="O17">
        <v>3.66</v>
      </c>
      <c r="P17">
        <v>3.67</v>
      </c>
      <c r="Q17">
        <v>3.69</v>
      </c>
      <c r="R17">
        <v>3.7</v>
      </c>
      <c r="S17">
        <v>3.71</v>
      </c>
      <c r="T17">
        <v>3.72</v>
      </c>
      <c r="U17">
        <v>3.73</v>
      </c>
      <c r="V17">
        <v>3.74</v>
      </c>
      <c r="W17">
        <v>3.75</v>
      </c>
      <c r="X17">
        <v>3.76</v>
      </c>
      <c r="Y17">
        <v>3.77</v>
      </c>
      <c r="Z17">
        <v>3.78</v>
      </c>
      <c r="AA17">
        <v>3.79</v>
      </c>
      <c r="AB17">
        <v>3.8</v>
      </c>
      <c r="AC17">
        <v>3.81</v>
      </c>
      <c r="AD17">
        <v>3.82</v>
      </c>
      <c r="AE17">
        <v>3.83</v>
      </c>
      <c r="AF17">
        <v>3.84</v>
      </c>
      <c r="AG17">
        <v>3.85</v>
      </c>
      <c r="AH17">
        <v>3.86</v>
      </c>
      <c r="AI17">
        <v>3.87</v>
      </c>
      <c r="AJ17">
        <v>3.88</v>
      </c>
      <c r="AK17">
        <v>3.89</v>
      </c>
      <c r="AL17">
        <v>3.9</v>
      </c>
    </row>
    <row r="18" spans="1:38">
      <c r="A18" t="s">
        <v>574</v>
      </c>
      <c r="B18" t="s">
        <v>600</v>
      </c>
      <c r="C18" t="s">
        <v>593</v>
      </c>
      <c r="D18" t="s">
        <v>57</v>
      </c>
      <c r="E18" t="s">
        <v>601</v>
      </c>
      <c r="F18">
        <v>1.4</v>
      </c>
      <c r="G18">
        <v>1.4</v>
      </c>
      <c r="H18">
        <v>1.39</v>
      </c>
      <c r="I18">
        <v>1.39</v>
      </c>
      <c r="J18">
        <v>1.39</v>
      </c>
      <c r="K18">
        <v>1.39</v>
      </c>
      <c r="L18">
        <v>1.38</v>
      </c>
      <c r="M18">
        <v>1.38</v>
      </c>
      <c r="N18">
        <v>1.38</v>
      </c>
      <c r="O18">
        <v>1.38</v>
      </c>
      <c r="P18">
        <v>1.37</v>
      </c>
      <c r="Q18">
        <v>1.37</v>
      </c>
      <c r="R18">
        <v>1.37</v>
      </c>
      <c r="S18">
        <v>1.37</v>
      </c>
      <c r="T18">
        <v>1.37</v>
      </c>
      <c r="U18">
        <v>1.37</v>
      </c>
      <c r="V18">
        <v>1.36</v>
      </c>
      <c r="W18">
        <v>1.36</v>
      </c>
      <c r="X18">
        <v>1.36</v>
      </c>
      <c r="Y18">
        <v>1.36</v>
      </c>
      <c r="Z18">
        <v>1.36</v>
      </c>
      <c r="AA18">
        <v>1.36</v>
      </c>
      <c r="AB18">
        <v>1.36</v>
      </c>
      <c r="AC18">
        <v>1.36</v>
      </c>
      <c r="AD18">
        <v>1.35</v>
      </c>
      <c r="AE18">
        <v>1.35</v>
      </c>
      <c r="AF18">
        <v>1.35</v>
      </c>
      <c r="AG18">
        <v>1.35</v>
      </c>
      <c r="AH18">
        <v>1.35</v>
      </c>
      <c r="AI18">
        <v>1.35</v>
      </c>
      <c r="AJ18">
        <v>1.35</v>
      </c>
      <c r="AK18">
        <v>1.35</v>
      </c>
      <c r="AL18">
        <v>1.34</v>
      </c>
    </row>
    <row r="19" spans="1:38">
      <c r="A19" t="s">
        <v>574</v>
      </c>
      <c r="B19" t="s">
        <v>600</v>
      </c>
      <c r="C19" t="s">
        <v>607</v>
      </c>
      <c r="D19" t="s">
        <v>69</v>
      </c>
      <c r="E19" t="s">
        <v>601</v>
      </c>
      <c r="F19">
        <v>3.3</v>
      </c>
      <c r="G19">
        <v>3.35</v>
      </c>
      <c r="H19">
        <v>3.39</v>
      </c>
      <c r="I19">
        <v>3.42</v>
      </c>
      <c r="J19">
        <v>3.45</v>
      </c>
      <c r="K19">
        <v>3.47</v>
      </c>
      <c r="L19">
        <v>3.5</v>
      </c>
      <c r="M19">
        <v>3.53</v>
      </c>
      <c r="N19">
        <v>3.56</v>
      </c>
      <c r="O19">
        <v>3.58</v>
      </c>
      <c r="P19">
        <v>3.61</v>
      </c>
      <c r="Q19">
        <v>3.64</v>
      </c>
      <c r="R19">
        <v>3.66</v>
      </c>
      <c r="S19">
        <v>3.68</v>
      </c>
      <c r="T19">
        <v>3.7</v>
      </c>
      <c r="U19">
        <v>3.72</v>
      </c>
      <c r="V19">
        <v>3.74</v>
      </c>
      <c r="W19">
        <v>3.76</v>
      </c>
      <c r="X19">
        <v>3.78</v>
      </c>
      <c r="Y19">
        <v>3.8</v>
      </c>
      <c r="Z19">
        <v>3.82</v>
      </c>
      <c r="AA19">
        <v>3.83</v>
      </c>
      <c r="AB19">
        <v>3.85</v>
      </c>
      <c r="AC19">
        <v>3.87</v>
      </c>
      <c r="AD19">
        <v>3.89</v>
      </c>
      <c r="AE19">
        <v>3.91</v>
      </c>
      <c r="AF19">
        <v>3.93</v>
      </c>
      <c r="AG19">
        <v>3.95</v>
      </c>
      <c r="AH19">
        <v>3.97</v>
      </c>
      <c r="AI19">
        <v>3.98</v>
      </c>
      <c r="AJ19">
        <v>4</v>
      </c>
      <c r="AK19">
        <v>4.0199999999999996</v>
      </c>
      <c r="AL19">
        <v>4.04</v>
      </c>
    </row>
    <row r="20" spans="1:38">
      <c r="A20" t="s">
        <v>574</v>
      </c>
      <c r="B20" t="s">
        <v>600</v>
      </c>
      <c r="C20" t="s">
        <v>607</v>
      </c>
      <c r="D20" t="s">
        <v>57</v>
      </c>
      <c r="E20" t="s">
        <v>601</v>
      </c>
      <c r="F20">
        <v>1.83</v>
      </c>
      <c r="G20">
        <v>1.81</v>
      </c>
      <c r="H20">
        <v>1.8</v>
      </c>
      <c r="I20">
        <v>1.79</v>
      </c>
      <c r="J20">
        <v>1.79</v>
      </c>
      <c r="K20">
        <v>1.78</v>
      </c>
      <c r="L20">
        <v>1.77</v>
      </c>
      <c r="M20">
        <v>1.77</v>
      </c>
      <c r="N20">
        <v>1.76</v>
      </c>
      <c r="O20">
        <v>1.75</v>
      </c>
      <c r="P20">
        <v>1.75</v>
      </c>
      <c r="Q20">
        <v>1.74</v>
      </c>
      <c r="R20">
        <v>1.73</v>
      </c>
      <c r="S20">
        <v>1.73</v>
      </c>
      <c r="T20">
        <v>1.72</v>
      </c>
      <c r="U20">
        <v>1.72</v>
      </c>
      <c r="V20">
        <v>1.72</v>
      </c>
      <c r="W20">
        <v>1.71</v>
      </c>
      <c r="X20">
        <v>1.71</v>
      </c>
      <c r="Y20">
        <v>1.7</v>
      </c>
      <c r="Z20">
        <v>1.7</v>
      </c>
      <c r="AA20">
        <v>1.7</v>
      </c>
      <c r="AB20">
        <v>1.69</v>
      </c>
      <c r="AC20">
        <v>1.69</v>
      </c>
      <c r="AD20">
        <v>1.69</v>
      </c>
      <c r="AE20">
        <v>1.68</v>
      </c>
      <c r="AF20">
        <v>1.68</v>
      </c>
      <c r="AG20">
        <v>1.68</v>
      </c>
      <c r="AH20">
        <v>1.67</v>
      </c>
      <c r="AI20">
        <v>1.67</v>
      </c>
      <c r="AJ20">
        <v>1.67</v>
      </c>
      <c r="AK20">
        <v>1.66</v>
      </c>
      <c r="AL20">
        <v>1.66</v>
      </c>
    </row>
    <row r="21" spans="1:38">
      <c r="A21" t="s">
        <v>574</v>
      </c>
      <c r="B21" t="s">
        <v>600</v>
      </c>
      <c r="C21" t="s">
        <v>607</v>
      </c>
      <c r="D21" t="s">
        <v>604</v>
      </c>
      <c r="E21" t="s">
        <v>601</v>
      </c>
      <c r="F21">
        <v>6.67</v>
      </c>
      <c r="G21">
        <v>6.67</v>
      </c>
      <c r="H21">
        <v>6.67</v>
      </c>
      <c r="I21">
        <v>6.67</v>
      </c>
      <c r="J21">
        <v>6.67</v>
      </c>
      <c r="K21">
        <v>6.67</v>
      </c>
      <c r="L21">
        <v>6.67</v>
      </c>
      <c r="M21">
        <v>6.67</v>
      </c>
      <c r="N21">
        <v>6.67</v>
      </c>
      <c r="O21">
        <v>6.67</v>
      </c>
      <c r="P21">
        <v>6.67</v>
      </c>
      <c r="Q21">
        <v>6.67</v>
      </c>
      <c r="R21">
        <v>6.67</v>
      </c>
      <c r="S21">
        <v>6.67</v>
      </c>
      <c r="T21">
        <v>6.67</v>
      </c>
      <c r="U21">
        <v>6.67</v>
      </c>
      <c r="V21">
        <v>6.67</v>
      </c>
      <c r="W21">
        <v>6.67</v>
      </c>
      <c r="X21">
        <v>6.67</v>
      </c>
      <c r="Y21">
        <v>6.67</v>
      </c>
      <c r="Z21">
        <v>6.67</v>
      </c>
      <c r="AA21">
        <v>6.67</v>
      </c>
      <c r="AB21">
        <v>6.67</v>
      </c>
      <c r="AC21">
        <v>6.67</v>
      </c>
      <c r="AD21">
        <v>6.67</v>
      </c>
      <c r="AE21">
        <v>6.67</v>
      </c>
      <c r="AF21">
        <v>6.67</v>
      </c>
      <c r="AG21">
        <v>6.67</v>
      </c>
      <c r="AH21">
        <v>6.67</v>
      </c>
      <c r="AI21">
        <v>6.67</v>
      </c>
      <c r="AJ21">
        <v>6.67</v>
      </c>
      <c r="AK21">
        <v>6.67</v>
      </c>
      <c r="AL21">
        <v>6.67</v>
      </c>
    </row>
    <row r="22" spans="1:38">
      <c r="A22" t="s">
        <v>574</v>
      </c>
      <c r="B22" t="s">
        <v>600</v>
      </c>
      <c r="C22" t="s">
        <v>608</v>
      </c>
      <c r="D22" t="s">
        <v>69</v>
      </c>
      <c r="E22" t="s">
        <v>601</v>
      </c>
      <c r="F22">
        <v>4.12</v>
      </c>
      <c r="G22">
        <v>4.1500000000000004</v>
      </c>
      <c r="H22">
        <v>4.18</v>
      </c>
      <c r="I22">
        <v>4.1900000000000004</v>
      </c>
      <c r="J22">
        <v>4.21</v>
      </c>
      <c r="K22">
        <v>4.2300000000000004</v>
      </c>
      <c r="L22">
        <v>4.25</v>
      </c>
      <c r="M22">
        <v>4.26</v>
      </c>
      <c r="N22">
        <v>4.28</v>
      </c>
      <c r="O22">
        <v>4.3</v>
      </c>
      <c r="P22">
        <v>4.32</v>
      </c>
      <c r="Q22">
        <v>4.34</v>
      </c>
      <c r="R22">
        <v>4.3499999999999996</v>
      </c>
      <c r="S22">
        <v>4.3600000000000003</v>
      </c>
      <c r="T22">
        <v>4.38</v>
      </c>
      <c r="U22">
        <v>4.3899999999999997</v>
      </c>
      <c r="V22">
        <v>4.4000000000000004</v>
      </c>
      <c r="W22">
        <v>4.41</v>
      </c>
      <c r="X22">
        <v>4.42</v>
      </c>
      <c r="Y22">
        <v>4.4400000000000004</v>
      </c>
      <c r="Z22">
        <v>4.45</v>
      </c>
      <c r="AA22">
        <v>4.46</v>
      </c>
      <c r="AB22">
        <v>4.47</v>
      </c>
      <c r="AC22">
        <v>4.4800000000000004</v>
      </c>
      <c r="AD22">
        <v>4.49</v>
      </c>
      <c r="AE22">
        <v>4.51</v>
      </c>
      <c r="AF22">
        <v>4.5199999999999996</v>
      </c>
      <c r="AG22">
        <v>4.53</v>
      </c>
      <c r="AH22">
        <v>4.54</v>
      </c>
      <c r="AI22">
        <v>4.55</v>
      </c>
      <c r="AJ22">
        <v>4.5599999999999996</v>
      </c>
      <c r="AK22">
        <v>4.58</v>
      </c>
      <c r="AL22">
        <v>4.59</v>
      </c>
    </row>
    <row r="23" spans="1:38">
      <c r="A23" t="s">
        <v>574</v>
      </c>
      <c r="B23" t="s">
        <v>600</v>
      </c>
      <c r="C23" t="s">
        <v>608</v>
      </c>
      <c r="D23" t="s">
        <v>57</v>
      </c>
      <c r="E23" t="s">
        <v>601</v>
      </c>
      <c r="F23">
        <v>1.65</v>
      </c>
      <c r="G23">
        <v>1.64</v>
      </c>
      <c r="H23">
        <v>1.64</v>
      </c>
      <c r="I23">
        <v>1.64</v>
      </c>
      <c r="J23">
        <v>1.63</v>
      </c>
      <c r="K23">
        <v>1.63</v>
      </c>
      <c r="L23">
        <v>1.63</v>
      </c>
      <c r="M23">
        <v>1.62</v>
      </c>
      <c r="N23">
        <v>1.62</v>
      </c>
      <c r="O23">
        <v>1.62</v>
      </c>
      <c r="P23">
        <v>1.62</v>
      </c>
      <c r="Q23">
        <v>1.61</v>
      </c>
      <c r="R23">
        <v>1.61</v>
      </c>
      <c r="S23">
        <v>1.61</v>
      </c>
      <c r="T23">
        <v>1.61</v>
      </c>
      <c r="U23">
        <v>1.61</v>
      </c>
      <c r="V23">
        <v>1.61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1.59</v>
      </c>
      <c r="AE23">
        <v>1.59</v>
      </c>
      <c r="AF23">
        <v>1.59</v>
      </c>
      <c r="AG23">
        <v>1.59</v>
      </c>
      <c r="AH23">
        <v>1.59</v>
      </c>
      <c r="AI23">
        <v>1.59</v>
      </c>
      <c r="AJ23">
        <v>1.58</v>
      </c>
      <c r="AK23">
        <v>1.58</v>
      </c>
      <c r="AL23">
        <v>1.58</v>
      </c>
    </row>
    <row r="24" spans="1:38">
      <c r="A24" t="s">
        <v>574</v>
      </c>
      <c r="B24" t="s">
        <v>600</v>
      </c>
      <c r="C24" t="s">
        <v>608</v>
      </c>
      <c r="D24" t="s">
        <v>604</v>
      </c>
      <c r="E24" t="s">
        <v>601</v>
      </c>
      <c r="F24">
        <v>6.67</v>
      </c>
      <c r="G24">
        <v>6.67</v>
      </c>
      <c r="H24">
        <v>6.67</v>
      </c>
      <c r="I24">
        <v>6.67</v>
      </c>
      <c r="J24">
        <v>6.67</v>
      </c>
      <c r="K24">
        <v>6.67</v>
      </c>
      <c r="L24">
        <v>6.67</v>
      </c>
      <c r="M24">
        <v>6.67</v>
      </c>
      <c r="N24">
        <v>6.67</v>
      </c>
      <c r="O24">
        <v>6.67</v>
      </c>
      <c r="P24">
        <v>6.67</v>
      </c>
      <c r="Q24">
        <v>6.67</v>
      </c>
      <c r="R24">
        <v>6.67</v>
      </c>
      <c r="S24">
        <v>6.67</v>
      </c>
      <c r="T24">
        <v>6.67</v>
      </c>
      <c r="U24">
        <v>6.67</v>
      </c>
      <c r="V24">
        <v>6.67</v>
      </c>
      <c r="W24">
        <v>6.67</v>
      </c>
      <c r="X24">
        <v>6.67</v>
      </c>
      <c r="Y24">
        <v>6.67</v>
      </c>
      <c r="Z24">
        <v>6.67</v>
      </c>
      <c r="AA24">
        <v>6.67</v>
      </c>
      <c r="AB24">
        <v>6.67</v>
      </c>
      <c r="AC24">
        <v>6.67</v>
      </c>
      <c r="AD24">
        <v>6.67</v>
      </c>
      <c r="AE24">
        <v>6.67</v>
      </c>
      <c r="AF24">
        <v>6.67</v>
      </c>
      <c r="AG24">
        <v>6.67</v>
      </c>
      <c r="AH24">
        <v>6.67</v>
      </c>
      <c r="AI24">
        <v>6.67</v>
      </c>
      <c r="AJ24">
        <v>6.67</v>
      </c>
      <c r="AK24">
        <v>6.67</v>
      </c>
      <c r="AL24">
        <v>6.67</v>
      </c>
    </row>
    <row r="25" spans="1:38">
      <c r="A25" t="s">
        <v>574</v>
      </c>
      <c r="B25" t="s">
        <v>600</v>
      </c>
      <c r="C25" t="s">
        <v>609</v>
      </c>
      <c r="D25" t="s">
        <v>69</v>
      </c>
      <c r="E25" t="s">
        <v>601</v>
      </c>
      <c r="F25">
        <v>4.12</v>
      </c>
      <c r="G25">
        <v>4.1500000000000004</v>
      </c>
      <c r="H25">
        <v>4.18</v>
      </c>
      <c r="I25">
        <v>4.1900000000000004</v>
      </c>
      <c r="J25">
        <v>4.21</v>
      </c>
      <c r="K25">
        <v>4.2300000000000004</v>
      </c>
      <c r="L25">
        <v>4.25</v>
      </c>
      <c r="M25">
        <v>4.26</v>
      </c>
      <c r="N25">
        <v>4.28</v>
      </c>
      <c r="O25">
        <v>4.3</v>
      </c>
      <c r="P25">
        <v>4.32</v>
      </c>
      <c r="Q25">
        <v>4.34</v>
      </c>
      <c r="R25">
        <v>4.3499999999999996</v>
      </c>
      <c r="S25">
        <v>4.3600000000000003</v>
      </c>
      <c r="T25">
        <v>4.38</v>
      </c>
      <c r="U25">
        <v>4.3899999999999997</v>
      </c>
      <c r="V25">
        <v>4.4000000000000004</v>
      </c>
      <c r="W25">
        <v>4.41</v>
      </c>
      <c r="X25">
        <v>4.42</v>
      </c>
      <c r="Y25">
        <v>4.4400000000000004</v>
      </c>
      <c r="Z25">
        <v>4.45</v>
      </c>
      <c r="AA25">
        <v>4.46</v>
      </c>
      <c r="AB25">
        <v>4.47</v>
      </c>
      <c r="AC25">
        <v>4.4800000000000004</v>
      </c>
      <c r="AD25">
        <v>4.49</v>
      </c>
      <c r="AE25">
        <v>4.51</v>
      </c>
      <c r="AF25">
        <v>4.5199999999999996</v>
      </c>
      <c r="AG25">
        <v>4.53</v>
      </c>
      <c r="AH25">
        <v>4.54</v>
      </c>
      <c r="AI25">
        <v>4.55</v>
      </c>
      <c r="AJ25">
        <v>4.5599999999999996</v>
      </c>
      <c r="AK25">
        <v>4.58</v>
      </c>
      <c r="AL25">
        <v>4.59</v>
      </c>
    </row>
    <row r="26" spans="1:38">
      <c r="A26" t="s">
        <v>574</v>
      </c>
      <c r="B26" t="s">
        <v>600</v>
      </c>
      <c r="C26" t="s">
        <v>609</v>
      </c>
      <c r="D26" t="s">
        <v>57</v>
      </c>
      <c r="E26" t="s">
        <v>601</v>
      </c>
      <c r="F26">
        <v>1.65</v>
      </c>
      <c r="G26">
        <v>1.64</v>
      </c>
      <c r="H26">
        <v>1.64</v>
      </c>
      <c r="I26">
        <v>1.64</v>
      </c>
      <c r="J26">
        <v>1.63</v>
      </c>
      <c r="K26">
        <v>1.63</v>
      </c>
      <c r="L26">
        <v>1.63</v>
      </c>
      <c r="M26">
        <v>1.62</v>
      </c>
      <c r="N26">
        <v>1.62</v>
      </c>
      <c r="O26">
        <v>1.62</v>
      </c>
      <c r="P26">
        <v>1.62</v>
      </c>
      <c r="Q26">
        <v>1.61</v>
      </c>
      <c r="R26">
        <v>1.61</v>
      </c>
      <c r="S26">
        <v>1.61</v>
      </c>
      <c r="T26">
        <v>1.61</v>
      </c>
      <c r="U26">
        <v>1.61</v>
      </c>
      <c r="V26">
        <v>1.61</v>
      </c>
      <c r="W26">
        <v>1.6</v>
      </c>
      <c r="X26">
        <v>1.6</v>
      </c>
      <c r="Y26">
        <v>1.6</v>
      </c>
      <c r="Z26">
        <v>1.6</v>
      </c>
      <c r="AA26">
        <v>1.6</v>
      </c>
      <c r="AB26">
        <v>1.6</v>
      </c>
      <c r="AC26">
        <v>1.6</v>
      </c>
      <c r="AD26">
        <v>1.59</v>
      </c>
      <c r="AE26">
        <v>1.59</v>
      </c>
      <c r="AF26">
        <v>1.59</v>
      </c>
      <c r="AG26">
        <v>1.59</v>
      </c>
      <c r="AH26">
        <v>1.59</v>
      </c>
      <c r="AI26">
        <v>1.59</v>
      </c>
      <c r="AJ26">
        <v>1.58</v>
      </c>
      <c r="AK26">
        <v>1.58</v>
      </c>
      <c r="AL26">
        <v>1.58</v>
      </c>
    </row>
    <row r="27" spans="1:38">
      <c r="A27" t="s">
        <v>574</v>
      </c>
      <c r="B27" t="s">
        <v>600</v>
      </c>
      <c r="C27" t="s">
        <v>609</v>
      </c>
      <c r="D27" t="s">
        <v>604</v>
      </c>
      <c r="E27" t="s">
        <v>601</v>
      </c>
      <c r="F27">
        <v>6.67</v>
      </c>
      <c r="G27">
        <v>6.67</v>
      </c>
      <c r="H27">
        <v>6.67</v>
      </c>
      <c r="I27">
        <v>6.67</v>
      </c>
      <c r="J27">
        <v>6.67</v>
      </c>
      <c r="K27">
        <v>6.67</v>
      </c>
      <c r="L27">
        <v>6.67</v>
      </c>
      <c r="M27">
        <v>6.67</v>
      </c>
      <c r="N27">
        <v>6.67</v>
      </c>
      <c r="O27">
        <v>6.67</v>
      </c>
      <c r="P27">
        <v>6.67</v>
      </c>
      <c r="Q27">
        <v>6.67</v>
      </c>
      <c r="R27">
        <v>6.67</v>
      </c>
      <c r="S27">
        <v>6.67</v>
      </c>
      <c r="T27">
        <v>6.67</v>
      </c>
      <c r="U27">
        <v>6.67</v>
      </c>
      <c r="V27">
        <v>6.67</v>
      </c>
      <c r="W27">
        <v>6.67</v>
      </c>
      <c r="X27">
        <v>6.67</v>
      </c>
      <c r="Y27">
        <v>6.67</v>
      </c>
      <c r="Z27">
        <v>6.67</v>
      </c>
      <c r="AA27">
        <v>6.67</v>
      </c>
      <c r="AB27">
        <v>6.67</v>
      </c>
      <c r="AC27">
        <v>6.67</v>
      </c>
      <c r="AD27">
        <v>6.67</v>
      </c>
      <c r="AE27">
        <v>6.67</v>
      </c>
      <c r="AF27">
        <v>6.67</v>
      </c>
      <c r="AG27">
        <v>6.67</v>
      </c>
      <c r="AH27">
        <v>6.67</v>
      </c>
      <c r="AI27">
        <v>6.67</v>
      </c>
      <c r="AJ27">
        <v>6.67</v>
      </c>
      <c r="AK27">
        <v>6.67</v>
      </c>
      <c r="AL27">
        <v>6.67</v>
      </c>
    </row>
    <row r="28" spans="1:38">
      <c r="A28" t="s">
        <v>574</v>
      </c>
      <c r="B28" t="s">
        <v>600</v>
      </c>
      <c r="C28" t="s">
        <v>597</v>
      </c>
      <c r="D28" t="s">
        <v>610</v>
      </c>
      <c r="E28" t="s">
        <v>601</v>
      </c>
      <c r="F28">
        <v>0.89</v>
      </c>
      <c r="G28">
        <v>0.89</v>
      </c>
      <c r="H28">
        <v>0.9</v>
      </c>
      <c r="I28">
        <v>0.9</v>
      </c>
      <c r="J28">
        <v>0.9</v>
      </c>
      <c r="K28">
        <v>0.91</v>
      </c>
      <c r="L28">
        <v>0.91</v>
      </c>
      <c r="M28">
        <v>0.91</v>
      </c>
      <c r="N28">
        <v>0.91</v>
      </c>
      <c r="O28">
        <v>0.91</v>
      </c>
      <c r="P28">
        <v>0.92</v>
      </c>
      <c r="Q28">
        <v>0.92</v>
      </c>
      <c r="R28">
        <v>0.92</v>
      </c>
      <c r="S28">
        <v>0.92</v>
      </c>
      <c r="T28">
        <v>0.93</v>
      </c>
      <c r="U28">
        <v>0.93</v>
      </c>
      <c r="V28">
        <v>0.93</v>
      </c>
      <c r="W28">
        <v>0.93</v>
      </c>
      <c r="X28">
        <v>0.93</v>
      </c>
      <c r="Y28">
        <v>0.93</v>
      </c>
      <c r="Z28">
        <v>0.93</v>
      </c>
      <c r="AA28">
        <v>0.94</v>
      </c>
      <c r="AB28">
        <v>0.94</v>
      </c>
      <c r="AC28">
        <v>0.94</v>
      </c>
      <c r="AD28">
        <v>0.94</v>
      </c>
      <c r="AE28">
        <v>0.94</v>
      </c>
      <c r="AF28">
        <v>0.94</v>
      </c>
      <c r="AG28">
        <v>0.95</v>
      </c>
      <c r="AH28">
        <v>0.95</v>
      </c>
      <c r="AI28">
        <v>0.95</v>
      </c>
      <c r="AJ28">
        <v>0.95</v>
      </c>
      <c r="AK28">
        <v>0.95</v>
      </c>
      <c r="AL28">
        <v>0.95</v>
      </c>
    </row>
    <row r="29" spans="1:38">
      <c r="A29" t="s">
        <v>574</v>
      </c>
      <c r="B29" t="s">
        <v>600</v>
      </c>
      <c r="C29" t="s">
        <v>598</v>
      </c>
      <c r="D29" t="s">
        <v>75</v>
      </c>
      <c r="E29" t="s">
        <v>601</v>
      </c>
      <c r="F29">
        <v>0.89</v>
      </c>
      <c r="G29">
        <v>0.89</v>
      </c>
      <c r="H29">
        <v>0.9</v>
      </c>
      <c r="I29">
        <v>0.9</v>
      </c>
      <c r="J29">
        <v>0.9</v>
      </c>
      <c r="K29">
        <v>0.91</v>
      </c>
      <c r="L29">
        <v>0.91</v>
      </c>
      <c r="M29">
        <v>0.91</v>
      </c>
      <c r="N29">
        <v>0.91</v>
      </c>
      <c r="O29">
        <v>0.91</v>
      </c>
      <c r="P29">
        <v>0.92</v>
      </c>
      <c r="Q29">
        <v>0.92</v>
      </c>
      <c r="R29">
        <v>0.92</v>
      </c>
      <c r="S29">
        <v>0.92</v>
      </c>
      <c r="T29">
        <v>0.93</v>
      </c>
      <c r="U29">
        <v>0.93</v>
      </c>
      <c r="V29">
        <v>0.93</v>
      </c>
      <c r="W29">
        <v>0.93</v>
      </c>
      <c r="X29">
        <v>0.93</v>
      </c>
      <c r="Y29">
        <v>0.93</v>
      </c>
      <c r="Z29">
        <v>0.93</v>
      </c>
      <c r="AA29">
        <v>0.94</v>
      </c>
      <c r="AB29">
        <v>0.94</v>
      </c>
      <c r="AC29">
        <v>0.94</v>
      </c>
      <c r="AD29">
        <v>0.94</v>
      </c>
      <c r="AE29">
        <v>0.94</v>
      </c>
      <c r="AF29">
        <v>0.94</v>
      </c>
      <c r="AG29">
        <v>0.95</v>
      </c>
      <c r="AH29">
        <v>0.95</v>
      </c>
      <c r="AI29">
        <v>0.95</v>
      </c>
      <c r="AJ29">
        <v>0.95</v>
      </c>
      <c r="AK29">
        <v>0.95</v>
      </c>
      <c r="AL29">
        <v>0.95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AI12"/>
  <sheetViews>
    <sheetView workbookViewId="0">
      <selection activeCell="B23" sqref="B23"/>
    </sheetView>
  </sheetViews>
  <sheetFormatPr defaultColWidth="9.140625" defaultRowHeight="15"/>
  <cols>
    <col min="2" max="2" width="33" bestFit="1" customWidth="1"/>
  </cols>
  <sheetData>
    <row r="1" spans="1:35">
      <c r="A1" t="s">
        <v>373</v>
      </c>
      <c r="B1" t="s">
        <v>443</v>
      </c>
      <c r="C1" t="s">
        <v>375</v>
      </c>
      <c r="D1">
        <v>2020</v>
      </c>
      <c r="E1">
        <v>2030</v>
      </c>
      <c r="F1">
        <v>2040</v>
      </c>
      <c r="G1">
        <v>2050</v>
      </c>
    </row>
    <row r="2" spans="1:35">
      <c r="A2" s="5" t="s">
        <v>574</v>
      </c>
      <c r="B2" s="5" t="s">
        <v>611</v>
      </c>
      <c r="C2" s="118" t="s">
        <v>612</v>
      </c>
      <c r="D2" s="120">
        <v>3648</v>
      </c>
      <c r="E2" s="90">
        <v>4083</v>
      </c>
      <c r="F2" s="90">
        <v>3989</v>
      </c>
      <c r="G2" s="90">
        <v>3895</v>
      </c>
      <c r="H2" s="90"/>
      <c r="I2" s="90"/>
      <c r="J2" s="12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35">
      <c r="A3" t="s">
        <v>574</v>
      </c>
      <c r="B3" t="s">
        <v>613</v>
      </c>
      <c r="C3" t="s">
        <v>612</v>
      </c>
      <c r="D3">
        <v>313</v>
      </c>
      <c r="E3">
        <v>504</v>
      </c>
      <c r="F3">
        <v>521</v>
      </c>
      <c r="G3">
        <v>538</v>
      </c>
    </row>
    <row r="4" spans="1:35">
      <c r="A4" t="s">
        <v>574</v>
      </c>
      <c r="B4" t="s">
        <v>614</v>
      </c>
      <c r="C4" t="s">
        <v>615</v>
      </c>
      <c r="D4" s="119">
        <v>1721</v>
      </c>
      <c r="E4" s="119">
        <v>1910</v>
      </c>
      <c r="F4" s="119">
        <v>2191</v>
      </c>
      <c r="G4" s="119">
        <v>2473</v>
      </c>
      <c r="J4" s="119"/>
    </row>
    <row r="5" spans="1:35">
      <c r="A5" t="s">
        <v>574</v>
      </c>
      <c r="B5" t="s">
        <v>616</v>
      </c>
      <c r="C5" t="s">
        <v>612</v>
      </c>
      <c r="D5">
        <v>275</v>
      </c>
      <c r="E5">
        <v>561</v>
      </c>
      <c r="F5">
        <v>651</v>
      </c>
      <c r="G5">
        <v>741</v>
      </c>
    </row>
    <row r="6" spans="1:35">
      <c r="A6" t="s">
        <v>574</v>
      </c>
      <c r="B6" t="s">
        <v>617</v>
      </c>
      <c r="C6" t="s">
        <v>615</v>
      </c>
      <c r="D6">
        <v>382</v>
      </c>
      <c r="E6">
        <v>440</v>
      </c>
      <c r="F6">
        <v>484</v>
      </c>
      <c r="G6">
        <v>527</v>
      </c>
    </row>
    <row r="7" spans="1:35">
      <c r="A7" t="s">
        <v>574</v>
      </c>
      <c r="B7" t="s">
        <v>618</v>
      </c>
      <c r="C7" t="s">
        <v>615</v>
      </c>
      <c r="D7">
        <v>19</v>
      </c>
      <c r="E7">
        <v>36</v>
      </c>
      <c r="F7">
        <v>39</v>
      </c>
      <c r="G7">
        <v>41</v>
      </c>
    </row>
    <row r="8" spans="1:35">
      <c r="A8" t="s">
        <v>574</v>
      </c>
      <c r="B8" t="s">
        <v>619</v>
      </c>
      <c r="C8" t="s">
        <v>615</v>
      </c>
      <c r="D8">
        <v>924</v>
      </c>
      <c r="E8" s="119">
        <v>1119</v>
      </c>
      <c r="F8" s="119">
        <v>1367</v>
      </c>
      <c r="G8" s="119">
        <v>1615</v>
      </c>
    </row>
    <row r="9" spans="1:35">
      <c r="A9" t="s">
        <v>574</v>
      </c>
      <c r="B9" t="s">
        <v>620</v>
      </c>
      <c r="C9" t="s">
        <v>612</v>
      </c>
      <c r="D9">
        <v>244</v>
      </c>
      <c r="E9">
        <v>485</v>
      </c>
      <c r="F9">
        <v>520</v>
      </c>
      <c r="G9">
        <v>554</v>
      </c>
    </row>
    <row r="10" spans="1:35">
      <c r="A10" t="s">
        <v>574</v>
      </c>
      <c r="B10" t="s">
        <v>621</v>
      </c>
      <c r="C10" t="s">
        <v>612</v>
      </c>
      <c r="D10">
        <v>570</v>
      </c>
      <c r="E10" s="119">
        <v>1627</v>
      </c>
      <c r="F10" s="119">
        <v>1740</v>
      </c>
      <c r="G10" s="119">
        <v>1854</v>
      </c>
      <c r="J10" s="119"/>
    </row>
    <row r="12" spans="1:35">
      <c r="A12" t="s">
        <v>622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AI31"/>
  <sheetViews>
    <sheetView workbookViewId="0">
      <selection activeCell="B35" sqref="B35"/>
    </sheetView>
  </sheetViews>
  <sheetFormatPr defaultColWidth="9.140625" defaultRowHeight="15"/>
  <cols>
    <col min="2" max="2" width="29.85546875" bestFit="1" customWidth="1"/>
    <col min="3" max="3" width="16.85546875" bestFit="1" customWidth="1"/>
  </cols>
  <sheetData>
    <row r="1" spans="1:35">
      <c r="A1" t="s">
        <v>373</v>
      </c>
      <c r="B1" t="s">
        <v>443</v>
      </c>
      <c r="C1" s="121" t="s">
        <v>623</v>
      </c>
      <c r="D1" s="121" t="s">
        <v>375</v>
      </c>
      <c r="E1" s="121">
        <v>2020</v>
      </c>
      <c r="F1" s="121">
        <v>2030</v>
      </c>
      <c r="G1" s="121">
        <v>2040</v>
      </c>
      <c r="H1" s="121">
        <v>2050</v>
      </c>
    </row>
    <row r="2" spans="1:35">
      <c r="A2" s="5" t="s">
        <v>574</v>
      </c>
      <c r="B2" s="5" t="s">
        <v>611</v>
      </c>
      <c r="C2" t="s">
        <v>624</v>
      </c>
      <c r="D2" s="15" t="s">
        <v>625</v>
      </c>
      <c r="E2" s="123">
        <v>0.51400000000000001</v>
      </c>
      <c r="F2" s="123">
        <v>0.44</v>
      </c>
      <c r="G2" s="123">
        <v>0.42099999999999999</v>
      </c>
      <c r="H2" s="123">
        <v>0.39600000000000002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35">
      <c r="A3" t="s">
        <v>574</v>
      </c>
      <c r="B3" t="s">
        <v>611</v>
      </c>
      <c r="C3" t="s">
        <v>626</v>
      </c>
      <c r="D3" s="15" t="s">
        <v>625</v>
      </c>
      <c r="E3" s="123">
        <v>0.32</v>
      </c>
      <c r="F3" s="123">
        <v>0.31</v>
      </c>
      <c r="G3" s="123">
        <v>0.30199999999999999</v>
      </c>
      <c r="H3" s="123">
        <v>0.29499999999999998</v>
      </c>
    </row>
    <row r="4" spans="1:35">
      <c r="A4" t="s">
        <v>574</v>
      </c>
      <c r="B4" t="s">
        <v>611</v>
      </c>
      <c r="C4" t="s">
        <v>627</v>
      </c>
      <c r="D4" s="15" t="s">
        <v>625</v>
      </c>
      <c r="E4" s="123">
        <v>0.21099999999999999</v>
      </c>
      <c r="F4" s="123">
        <v>0.188</v>
      </c>
      <c r="G4" s="123">
        <v>0.18</v>
      </c>
      <c r="H4" s="123">
        <v>0.16900000000000001</v>
      </c>
    </row>
    <row r="5" spans="1:35">
      <c r="A5" t="s">
        <v>574</v>
      </c>
      <c r="B5" t="s">
        <v>628</v>
      </c>
      <c r="C5" t="s">
        <v>624</v>
      </c>
      <c r="D5" t="s">
        <v>625</v>
      </c>
      <c r="E5" s="122">
        <v>0.248</v>
      </c>
      <c r="F5" s="122">
        <v>0.23100000000000001</v>
      </c>
      <c r="G5" s="122">
        <v>0.215</v>
      </c>
      <c r="H5" s="122">
        <v>0.19800000000000001</v>
      </c>
    </row>
    <row r="6" spans="1:35">
      <c r="A6" t="s">
        <v>574</v>
      </c>
      <c r="B6" t="s">
        <v>628</v>
      </c>
      <c r="C6" t="s">
        <v>626</v>
      </c>
      <c r="D6" t="s">
        <v>625</v>
      </c>
      <c r="E6" s="123">
        <v>0.14879999999999999</v>
      </c>
      <c r="F6" s="123">
        <v>0.1386</v>
      </c>
      <c r="G6" s="123">
        <v>0.129</v>
      </c>
      <c r="H6" s="123">
        <v>0.1188</v>
      </c>
    </row>
    <row r="7" spans="1:35">
      <c r="A7" t="s">
        <v>574</v>
      </c>
      <c r="B7" t="s">
        <v>628</v>
      </c>
      <c r="C7" t="s">
        <v>629</v>
      </c>
      <c r="D7" t="s">
        <v>625</v>
      </c>
      <c r="E7" s="122">
        <v>8.7999999999999995E-2</v>
      </c>
      <c r="F7" s="122">
        <v>8.2000000000000003E-2</v>
      </c>
      <c r="G7" s="122">
        <v>7.5999999999999998E-2</v>
      </c>
      <c r="H7" s="122">
        <v>7.0000000000000007E-2</v>
      </c>
    </row>
    <row r="8" spans="1:35">
      <c r="A8" t="s">
        <v>574</v>
      </c>
      <c r="B8" t="s">
        <v>630</v>
      </c>
      <c r="C8" t="s">
        <v>624</v>
      </c>
      <c r="D8" t="s">
        <v>631</v>
      </c>
      <c r="E8" s="122">
        <v>0.114</v>
      </c>
      <c r="F8" s="122">
        <v>0.10639999999999999</v>
      </c>
      <c r="G8" s="122">
        <v>9.8799999999999999E-2</v>
      </c>
      <c r="H8" s="122">
        <v>9.1200000000000003E-2</v>
      </c>
    </row>
    <row r="9" spans="1:35">
      <c r="A9" t="s">
        <v>574</v>
      </c>
      <c r="B9" t="s">
        <v>630</v>
      </c>
      <c r="C9" t="s">
        <v>626</v>
      </c>
      <c r="D9" t="s">
        <v>631</v>
      </c>
      <c r="E9" s="122">
        <v>6.8400000000000002E-2</v>
      </c>
      <c r="F9" s="122">
        <v>6.3839999999999994E-2</v>
      </c>
      <c r="G9" s="122">
        <v>5.9279999999999999E-2</v>
      </c>
      <c r="H9" s="122">
        <v>5.4719999999999998E-2</v>
      </c>
    </row>
    <row r="10" spans="1:35">
      <c r="A10" t="s">
        <v>574</v>
      </c>
      <c r="B10" t="s">
        <v>630</v>
      </c>
      <c r="C10" t="s">
        <v>629</v>
      </c>
      <c r="D10" t="s">
        <v>631</v>
      </c>
      <c r="E10" s="122">
        <v>4.0527000000000001E-2</v>
      </c>
      <c r="F10" s="122">
        <v>3.7825200000000003E-2</v>
      </c>
      <c r="G10" s="122">
        <v>3.5123399999999999E-2</v>
      </c>
      <c r="H10" s="122">
        <v>3.2421600000000002E-2</v>
      </c>
    </row>
    <row r="11" spans="1:35">
      <c r="A11" t="s">
        <v>574</v>
      </c>
      <c r="B11" t="s">
        <v>632</v>
      </c>
      <c r="C11" t="s">
        <v>633</v>
      </c>
      <c r="D11" t="s">
        <v>631</v>
      </c>
      <c r="E11" s="123">
        <v>0.11899999999999999</v>
      </c>
      <c r="F11" s="123">
        <v>0.1071</v>
      </c>
      <c r="G11" s="123">
        <v>9.5200000000000007E-2</v>
      </c>
      <c r="H11" s="123">
        <v>8.3299999999999999E-2</v>
      </c>
    </row>
    <row r="12" spans="1:35">
      <c r="A12" t="s">
        <v>574</v>
      </c>
      <c r="B12" t="s">
        <v>632</v>
      </c>
      <c r="C12" t="s">
        <v>626</v>
      </c>
      <c r="D12" t="s">
        <v>631</v>
      </c>
      <c r="E12" s="123">
        <v>7.1400000000000005E-2</v>
      </c>
      <c r="F12" s="123">
        <v>6.4259999999999998E-2</v>
      </c>
      <c r="G12" s="123">
        <v>5.7119999999999997E-2</v>
      </c>
      <c r="H12" s="123">
        <v>4.9979999999999997E-2</v>
      </c>
    </row>
    <row r="13" spans="1:35">
      <c r="A13" t="s">
        <v>574</v>
      </c>
      <c r="B13" t="s">
        <v>634</v>
      </c>
      <c r="C13" t="s">
        <v>635</v>
      </c>
      <c r="D13" t="s">
        <v>631</v>
      </c>
      <c r="E13" s="123">
        <v>0.13900000000000001</v>
      </c>
      <c r="F13" s="123">
        <v>0.12509999999999999</v>
      </c>
      <c r="G13" s="123">
        <v>0.11119999999999999</v>
      </c>
      <c r="H13" s="123">
        <v>9.7299999999999998E-2</v>
      </c>
    </row>
    <row r="14" spans="1:35">
      <c r="A14" t="s">
        <v>574</v>
      </c>
      <c r="B14" t="s">
        <v>636</v>
      </c>
      <c r="C14" t="s">
        <v>624</v>
      </c>
      <c r="D14" t="s">
        <v>631</v>
      </c>
      <c r="E14" s="123">
        <v>0.82</v>
      </c>
      <c r="F14" s="123">
        <v>0.72</v>
      </c>
      <c r="G14" s="123">
        <v>0.69</v>
      </c>
      <c r="H14" s="123">
        <v>0.66</v>
      </c>
    </row>
    <row r="15" spans="1:35">
      <c r="A15" t="s">
        <v>574</v>
      </c>
      <c r="B15" t="s">
        <v>637</v>
      </c>
      <c r="C15" t="s">
        <v>626</v>
      </c>
      <c r="D15" t="s">
        <v>631</v>
      </c>
      <c r="E15" s="123">
        <v>0.69</v>
      </c>
      <c r="F15" s="123">
        <v>0.62</v>
      </c>
      <c r="G15" s="123">
        <v>0.59</v>
      </c>
      <c r="H15" s="123">
        <v>0.56000000000000005</v>
      </c>
    </row>
    <row r="16" spans="1:35">
      <c r="A16" t="s">
        <v>574</v>
      </c>
      <c r="B16" t="s">
        <v>636</v>
      </c>
      <c r="C16" t="s">
        <v>627</v>
      </c>
      <c r="D16" t="s">
        <v>631</v>
      </c>
      <c r="E16" s="123">
        <v>0.32</v>
      </c>
      <c r="F16" s="123">
        <v>0.28999999999999998</v>
      </c>
      <c r="G16" s="123">
        <v>0.28499999999999998</v>
      </c>
      <c r="H16" s="123">
        <v>0.28000000000000003</v>
      </c>
    </row>
    <row r="17" spans="1:8">
      <c r="A17" t="s">
        <v>574</v>
      </c>
      <c r="B17" t="s">
        <v>638</v>
      </c>
      <c r="C17" t="s">
        <v>624</v>
      </c>
      <c r="D17" t="s">
        <v>631</v>
      </c>
      <c r="E17" s="123">
        <v>1.31</v>
      </c>
      <c r="F17" s="123">
        <v>1.1499999999999999</v>
      </c>
      <c r="G17" s="123">
        <v>1.1000000000000001</v>
      </c>
      <c r="H17" s="123">
        <v>1.05</v>
      </c>
    </row>
    <row r="18" spans="1:8">
      <c r="A18" t="s">
        <v>574</v>
      </c>
      <c r="B18" t="s">
        <v>638</v>
      </c>
      <c r="C18" t="s">
        <v>626</v>
      </c>
      <c r="D18" t="s">
        <v>631</v>
      </c>
      <c r="E18" s="123">
        <v>1.0900000000000001</v>
      </c>
      <c r="F18" s="123">
        <v>0.99</v>
      </c>
      <c r="G18" s="123">
        <v>0.94</v>
      </c>
      <c r="H18" s="123">
        <v>0.89</v>
      </c>
    </row>
    <row r="19" spans="1:8">
      <c r="A19" t="s">
        <v>574</v>
      </c>
      <c r="B19" t="s">
        <v>638</v>
      </c>
      <c r="C19" t="s">
        <v>627</v>
      </c>
      <c r="D19" t="s">
        <v>631</v>
      </c>
      <c r="E19" s="123">
        <v>0.6</v>
      </c>
      <c r="F19" s="123">
        <v>0.55000000000000004</v>
      </c>
      <c r="G19" s="123">
        <v>0.54</v>
      </c>
      <c r="H19" s="123">
        <v>0.53</v>
      </c>
    </row>
    <row r="20" spans="1:8">
      <c r="A20" t="s">
        <v>574</v>
      </c>
      <c r="B20" t="s">
        <v>639</v>
      </c>
      <c r="C20" t="s">
        <v>624</v>
      </c>
      <c r="D20" t="s">
        <v>631</v>
      </c>
      <c r="E20" s="123">
        <v>1.8</v>
      </c>
      <c r="F20" s="123">
        <v>1.58</v>
      </c>
      <c r="G20" s="123">
        <v>1.51</v>
      </c>
      <c r="H20" s="123">
        <v>1.44</v>
      </c>
    </row>
    <row r="21" spans="1:8">
      <c r="A21" t="s">
        <v>574</v>
      </c>
      <c r="B21" t="s">
        <v>639</v>
      </c>
      <c r="C21" t="s">
        <v>626</v>
      </c>
      <c r="D21" t="s">
        <v>631</v>
      </c>
      <c r="E21" s="123">
        <v>1.5</v>
      </c>
      <c r="F21" s="123">
        <v>1.36</v>
      </c>
      <c r="G21" s="123">
        <v>1.29</v>
      </c>
      <c r="H21" s="123">
        <v>1.22</v>
      </c>
    </row>
    <row r="22" spans="1:8">
      <c r="A22" t="s">
        <v>574</v>
      </c>
      <c r="B22" t="s">
        <v>639</v>
      </c>
      <c r="C22" t="s">
        <v>627</v>
      </c>
      <c r="D22" t="s">
        <v>631</v>
      </c>
      <c r="E22" s="122">
        <v>0.84</v>
      </c>
      <c r="F22" s="122">
        <v>0.77</v>
      </c>
      <c r="G22" s="122">
        <v>0.755</v>
      </c>
      <c r="H22" s="122">
        <v>0.74</v>
      </c>
    </row>
    <row r="23" spans="1:8">
      <c r="A23" t="s">
        <v>574</v>
      </c>
      <c r="B23" t="s">
        <v>640</v>
      </c>
      <c r="C23" t="s">
        <v>624</v>
      </c>
      <c r="D23" t="s">
        <v>631</v>
      </c>
      <c r="E23" s="122">
        <v>2.56</v>
      </c>
      <c r="F23" s="122">
        <v>2.19</v>
      </c>
      <c r="G23" s="122">
        <v>2.0449999999999999</v>
      </c>
      <c r="H23" s="122">
        <v>1.9</v>
      </c>
    </row>
    <row r="24" spans="1:8">
      <c r="A24" t="s">
        <v>574</v>
      </c>
      <c r="B24" t="s">
        <v>640</v>
      </c>
      <c r="C24" t="s">
        <v>626</v>
      </c>
      <c r="D24" t="s">
        <v>631</v>
      </c>
      <c r="E24" s="122">
        <v>2.2200000000000002</v>
      </c>
      <c r="F24" s="122">
        <v>2.0099999999999998</v>
      </c>
      <c r="G24" s="122">
        <v>1.91</v>
      </c>
      <c r="H24" s="122">
        <v>1.81</v>
      </c>
    </row>
    <row r="25" spans="1:8">
      <c r="A25" t="s">
        <v>574</v>
      </c>
      <c r="B25" t="s">
        <v>640</v>
      </c>
      <c r="C25" t="s">
        <v>627</v>
      </c>
      <c r="D25" t="s">
        <v>631</v>
      </c>
      <c r="E25" s="122">
        <v>1.1499999999999999</v>
      </c>
      <c r="F25" s="122">
        <v>1.06</v>
      </c>
      <c r="G25" s="122">
        <v>1.03</v>
      </c>
      <c r="H25" s="122">
        <v>1</v>
      </c>
    </row>
    <row r="26" spans="1:8">
      <c r="A26" t="s">
        <v>574</v>
      </c>
      <c r="B26" t="s">
        <v>641</v>
      </c>
      <c r="C26" t="s">
        <v>624</v>
      </c>
      <c r="D26" t="s">
        <v>631</v>
      </c>
      <c r="E26" s="122">
        <v>3.03</v>
      </c>
      <c r="F26" s="122">
        <v>2.59</v>
      </c>
      <c r="G26" s="122">
        <v>2.42</v>
      </c>
      <c r="H26" s="122">
        <v>2.25</v>
      </c>
    </row>
    <row r="27" spans="1:8">
      <c r="A27" t="s">
        <v>574</v>
      </c>
      <c r="B27" t="s">
        <v>641</v>
      </c>
      <c r="C27" t="s">
        <v>626</v>
      </c>
      <c r="D27" t="s">
        <v>631</v>
      </c>
      <c r="E27" s="122">
        <v>2.63</v>
      </c>
      <c r="F27" s="122">
        <v>2.37</v>
      </c>
      <c r="G27" s="122">
        <v>2.2549999999999999</v>
      </c>
      <c r="H27" s="122">
        <v>2.14</v>
      </c>
    </row>
    <row r="28" spans="1:8">
      <c r="A28" t="s">
        <v>574</v>
      </c>
      <c r="B28" t="s">
        <v>641</v>
      </c>
      <c r="C28" t="s">
        <v>627</v>
      </c>
      <c r="D28" t="s">
        <v>631</v>
      </c>
      <c r="E28" s="122">
        <v>1.34</v>
      </c>
      <c r="F28" s="122">
        <v>1.23</v>
      </c>
      <c r="G28" s="122">
        <v>1.2</v>
      </c>
      <c r="H28" s="122">
        <v>1.17</v>
      </c>
    </row>
    <row r="29" spans="1:8">
      <c r="A29" t="s">
        <v>574</v>
      </c>
      <c r="B29" t="s">
        <v>642</v>
      </c>
      <c r="C29" t="s">
        <v>643</v>
      </c>
      <c r="D29" s="15" t="s">
        <v>625</v>
      </c>
      <c r="E29" s="122">
        <v>0.68600000000000005</v>
      </c>
      <c r="F29" s="122">
        <v>0.63400000000000001</v>
      </c>
      <c r="G29" s="122">
        <v>0.54700000000000004</v>
      </c>
      <c r="H29" s="122">
        <v>0.443</v>
      </c>
    </row>
    <row r="30" spans="1:8">
      <c r="A30" t="s">
        <v>574</v>
      </c>
      <c r="B30" t="s">
        <v>644</v>
      </c>
      <c r="C30" t="s">
        <v>643</v>
      </c>
      <c r="D30" s="15" t="s">
        <v>625</v>
      </c>
      <c r="E30" s="122">
        <v>0.34300000000000003</v>
      </c>
      <c r="F30" s="122">
        <v>0.317</v>
      </c>
      <c r="G30" s="122">
        <v>0.27400000000000002</v>
      </c>
      <c r="H30" s="122">
        <v>0.221</v>
      </c>
    </row>
    <row r="31" spans="1:8">
      <c r="E31" s="124"/>
      <c r="F31" s="124"/>
      <c r="G31" s="124"/>
      <c r="H31" s="1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547EACE7786694D81B1FDC2ECFCDF14" ma:contentTypeVersion="16" ma:contentTypeDescription="Ein neues Dokument erstellen." ma:contentTypeScope="" ma:versionID="19e7213cc546522aaafaaa67bd490b32">
  <xsd:schema xmlns:xsd="http://www.w3.org/2001/XMLSchema" xmlns:xs="http://www.w3.org/2001/XMLSchema" xmlns:p="http://schemas.microsoft.com/office/2006/metadata/properties" xmlns:ns2="087e9dd0-16c9-469e-b1c6-6a4bfa292378" xmlns:ns3="4473a992-d24d-4614-8d38-a2b4ff9fba5a" targetNamespace="http://schemas.microsoft.com/office/2006/metadata/properties" ma:root="true" ma:fieldsID="bec4da8b6a8471a042922649a4a078c9" ns2:_="" ns3:_="">
    <xsd:import namespace="087e9dd0-16c9-469e-b1c6-6a4bfa292378"/>
    <xsd:import namespace="4473a992-d24d-4614-8d38-a2b4ff9fb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e9dd0-16c9-469e-b1c6-6a4bfa2923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3a992-d24d-4614-8d38-a2b4ff9fba5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7e9dd0-16c9-469e-b1c6-6a4bfa2923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680A-54C4-471E-A7E9-F8CBF10E0FB5}"/>
</file>

<file path=customXml/itemProps2.xml><?xml version="1.0" encoding="utf-8"?>
<ds:datastoreItem xmlns:ds="http://schemas.openxmlformats.org/officeDocument/2006/customXml" ds:itemID="{4953354E-3E0F-496B-9B72-9A7EABC40B4D}"/>
</file>

<file path=customXml/itemProps3.xml><?xml version="1.0" encoding="utf-8"?>
<ds:datastoreItem xmlns:ds="http://schemas.openxmlformats.org/officeDocument/2006/customXml" ds:itemID="{C5B61753-D8FB-4E1C-A6BC-CDD48DE04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Fraunhofer ISI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Al-Dabbas, Khaled</dc:creator>
  <cp:keywords/>
  <dc:description/>
  <cp:lastModifiedBy>Fleiter, Tobias</cp:lastModifiedBy>
  <cp:revision/>
  <dcterms:created xsi:type="dcterms:W3CDTF">2024-02-12T15:09:59Z</dcterms:created>
  <dcterms:modified xsi:type="dcterms:W3CDTF">2024-09-06T02:57:53Z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0x0101005547EACE7786694D81B1FDC2ECFCDF14</vt:lpwstr>
  </property>
  <property fmtid="{D5CDD505-2E9C-101B-9397-08002B2CF9AE}" pid="3" name="MediaServiceImageTags">
    <vt:lpwstr/>
  </property>
</Properties>
</file>